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0a2e4ec7be686c9/Documents/Logistics/"/>
    </mc:Choice>
  </mc:AlternateContent>
  <xr:revisionPtr revIDLastSave="1" documentId="8_{E623E615-B212-42A9-9149-97F8D83E8CDB}" xr6:coauthVersionLast="47" xr6:coauthVersionMax="47" xr10:uidLastSave="{A596235E-3F2C-458D-8F11-2F6E82046B96}"/>
  <bookViews>
    <workbookView xWindow="-110" yWindow="-110" windowWidth="19420" windowHeight="10300" xr2:uid="{3863C509-3E14-498C-BB80-1906ED4585CC}"/>
  </bookViews>
  <sheets>
    <sheet name="vendor payment tracker" sheetId="2" r:id="rId1"/>
    <sheet name="Sheet1" sheetId="3" r:id="rId2"/>
    <sheet name="process flow chart" sheetId="1" r:id="rId3"/>
  </sheets>
  <definedNames>
    <definedName name="_xlnm._FilterDatabase" localSheetId="0" hidden="1">'vendor payment tracker'!$B$4:$M$107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3" l="1"/>
  <c r="H4" i="3"/>
  <c r="G6" i="3"/>
  <c r="H6" i="3" s="1"/>
  <c r="F6" i="3"/>
  <c r="E6" i="3"/>
</calcChain>
</file>

<file path=xl/sharedStrings.xml><?xml version="1.0" encoding="utf-8"?>
<sst xmlns="http://schemas.openxmlformats.org/spreadsheetml/2006/main" count="700" uniqueCount="188">
  <si>
    <t>Vendor</t>
  </si>
  <si>
    <t>PO Number</t>
  </si>
  <si>
    <t>Task Description</t>
  </si>
  <si>
    <t>Service Date</t>
  </si>
  <si>
    <t>Service Completion Status</t>
  </si>
  <si>
    <t>Date of Invoice Submission to finance</t>
  </si>
  <si>
    <t>Expected payment Date</t>
  </si>
  <si>
    <t>Payment Status</t>
  </si>
  <si>
    <t>Servizo</t>
  </si>
  <si>
    <t>Onboarding Status</t>
  </si>
  <si>
    <t>Yes</t>
  </si>
  <si>
    <t>23/08/2025</t>
  </si>
  <si>
    <t>SUV from PH to OBOB, from OBOB to Golden Tulip, from Golden Tulip to PH airport (from 22/08/2025 to 23/08/2025)</t>
  </si>
  <si>
    <t>Kobani</t>
  </si>
  <si>
    <t>Rofav</t>
  </si>
  <si>
    <t>Not Required</t>
  </si>
  <si>
    <t>Engr Tony's trip to OBOB from PH</t>
  </si>
  <si>
    <t>Mr Akpan's trip to OBOB from Igbo Etche</t>
  </si>
  <si>
    <t>pending</t>
  </si>
  <si>
    <t>Completed</t>
  </si>
  <si>
    <t>Paid</t>
  </si>
  <si>
    <t>28/08/2025</t>
  </si>
  <si>
    <t>26/08/2025</t>
  </si>
  <si>
    <t xml:space="preserve">31/08/2025 </t>
  </si>
  <si>
    <t>Mr Rob's trip and escort from Airport to hotel, hotel to Airport, PH airport to OBOB (2 day trip)</t>
  </si>
  <si>
    <t>Austin Nwachukwu from PH airport to OBOB</t>
  </si>
  <si>
    <t>15/9/2025</t>
  </si>
  <si>
    <t>Engr. Musa from OBOB to PH airport, from lagos airport to hotel.</t>
  </si>
  <si>
    <t>Rajput Amarsingh: pick up from Lagos Airport at 3:35pm to Hotel, from hotel to Lagos Airport following day by 9am</t>
  </si>
  <si>
    <t>Gharouba Omar Trip from PH airport to OBOB at 9:15am</t>
  </si>
  <si>
    <t>Gharouba Omar Return Trip from OBOB to PH airport at 11:25am</t>
  </si>
  <si>
    <t>Return Date</t>
  </si>
  <si>
    <t>27/10/2025</t>
  </si>
  <si>
    <t>Pick up Rajuput Return Trip from OBOB to PH airport at12:10pm, and from Lagos domestic airport to international wing  13:20pm</t>
  </si>
  <si>
    <t>16/10/2025</t>
  </si>
  <si>
    <t>Engr Musa from Lagos Hotel to Lagos Airport for Jos flight</t>
  </si>
  <si>
    <t>Chukwudi from Base to PH</t>
  </si>
  <si>
    <t>Chukwudi from Base to PH. Then Return trip from PH to base</t>
  </si>
  <si>
    <t>30/09/2025</t>
  </si>
  <si>
    <t xml:space="preserve">Francisca Osuagwu from Base to PH. </t>
  </si>
  <si>
    <t>Francisca Osuagwu  from Return trip from PH to base</t>
  </si>
  <si>
    <t>Eteng A Samson: from base to PHC</t>
  </si>
  <si>
    <t>Eteng A Samson:  Return trip from PHC to base</t>
  </si>
  <si>
    <t>Mr Akpan's return trip from OBOB to Igbo Etche (PHC)</t>
  </si>
  <si>
    <t>21/10/2025</t>
  </si>
  <si>
    <t>Khanindr Kaaushik from PH airport to OBOB</t>
  </si>
  <si>
    <t xml:space="preserve">Khanindr Kaaushik from OBOB to PH airport </t>
  </si>
  <si>
    <t>Ceasar M. arrives OBOB</t>
  </si>
  <si>
    <t>Lead and Chase Required (with escort)</t>
  </si>
  <si>
    <t>None</t>
  </si>
  <si>
    <t>yes</t>
  </si>
  <si>
    <t>No</t>
  </si>
  <si>
    <t xml:space="preserve">LOGISTICS PLAN AND PAYMENT TRACKER </t>
  </si>
  <si>
    <t>Trip postponed</t>
  </si>
  <si>
    <t>PO 1027</t>
  </si>
  <si>
    <t>AMOUNT CHARGED</t>
  </si>
  <si>
    <t>Pick up Rajuput from PH airport to OBOB 10:10am _ Lead and chase + escort</t>
  </si>
  <si>
    <t>Pick Mr Rob and Mr Austin from OBOB to PH , from PH to airport</t>
  </si>
  <si>
    <t>Inbound</t>
  </si>
  <si>
    <t>Outbound</t>
  </si>
  <si>
    <t>Achieved</t>
  </si>
  <si>
    <t>ongoing</t>
  </si>
  <si>
    <t>Total Trips</t>
  </si>
  <si>
    <t>Total</t>
  </si>
  <si>
    <t>upcoming till month end</t>
  </si>
  <si>
    <t>Mr Kafi from airport to OBOB. Mr Omar Gharouba from PH airport  to OBOB</t>
  </si>
  <si>
    <t>20/9/2025</t>
  </si>
  <si>
    <t xml:space="preserve">Provide SUV from OBOB to airport to convey Mr Bodgan. (Early morning pick up, flight scheduled for 9:40) </t>
  </si>
  <si>
    <t>22/9/2025</t>
  </si>
  <si>
    <t>24/9/2025</t>
  </si>
  <si>
    <t>1 SUV to convey HMO representatives from airport to OBOB, then the SUV takes them back to the airport</t>
  </si>
  <si>
    <t>23/9/2025</t>
  </si>
  <si>
    <t xml:space="preserve">SUV to convey Mr Satoo with 1 lead from PH to OBOB. </t>
  </si>
  <si>
    <t>25/9/2025</t>
  </si>
  <si>
    <t>Provide SUV and Lead with escort to pick up Mr Ashishkumar Patel from OBOB to PH airport. 
Ashishkumar from Lagos local airport to International airport.</t>
  </si>
  <si>
    <t>Sunny Anietor: PH to OBOB</t>
  </si>
  <si>
    <t>Sunny Anietor: OBOB to PH airport</t>
  </si>
  <si>
    <t>28/10/2025</t>
  </si>
  <si>
    <t>Odegbedor Daniel: pick up from OBOB to PH airport</t>
  </si>
  <si>
    <t>Odegbedor Daniel: pick up from PH airport to OBOB</t>
  </si>
  <si>
    <t>PO 1049</t>
  </si>
  <si>
    <t xml:space="preserve">Lead and chase Pick up Mr Eze and Mr Tarik from PH to kwale and return them to PH. SUV drops Mr Austin at Eleme. </t>
  </si>
  <si>
    <t>Vehicle then conveys Mr Tarik from PH suv from OBOB to  PH (early hours movement from OBOB, accomodation and feeding a night before). Mr. Obinna: Provide suv from PH to OBOB by 11am</t>
  </si>
  <si>
    <t>SUV Pick up Mr Eze and Mr Tarik from PH to kwale and return them to PH. SUV drops Mr Austin at Eleme. Vehicle then conveys Mr Tarik from PH to OBOB.</t>
  </si>
  <si>
    <t xml:space="preserve">Escort Pick up Mr Eze and Mr Tarik from PH to kwale and return them to PH. SUV drops Mr Austin at Eleme. </t>
  </si>
  <si>
    <t>25/09/2025</t>
  </si>
  <si>
    <t>24/10/2025</t>
  </si>
  <si>
    <t>in-process</t>
  </si>
  <si>
    <t>Engr Tony from OBOB to PHC</t>
  </si>
  <si>
    <t>Mr Morthimoh from OBOB to PHC</t>
  </si>
  <si>
    <t>completed</t>
  </si>
  <si>
    <t>Trips Summary Update September 26 to October 2, 2025</t>
  </si>
  <si>
    <t>Other Task/Activity</t>
  </si>
  <si>
    <t>Delivery of Tooling Equipment for repairs from OBOB to PH (ongoing)</t>
  </si>
  <si>
    <t>Delivery of Filters from limeswood to OBOB, following up with STS forwarding vendor (ongoing)</t>
  </si>
  <si>
    <t>Chukwudi Osunwa from OBOB to PHC</t>
  </si>
  <si>
    <t>Abayomi Ayodeji PHC AIRPORT TO OBOB (Local) 14:40pm</t>
  </si>
  <si>
    <t>RAJPUT/AMARSINGH: PH airport to OBOB</t>
  </si>
  <si>
    <t>AkpanOB/OB to Kwale</t>
  </si>
  <si>
    <t>KAFI Mohammed: PH airport to OBOB</t>
  </si>
  <si>
    <t>Omar Gharouba OBOB to PH Airport</t>
  </si>
  <si>
    <t>Samson Eteng: OB/OB TO PHC</t>
  </si>
  <si>
    <t>Franca Osuagwu: PHC TO OB/OB</t>
  </si>
  <si>
    <t>Dr. Miebaka's Father Burial: Samson Eteng, Anthony Usen,  Jephtha Amashia</t>
  </si>
  <si>
    <t>Musa Mamman: PHC to OB/OB</t>
  </si>
  <si>
    <t>BENBOUZIANE / MOHAMMED: PHC to OBOB</t>
  </si>
  <si>
    <t>Mohamed Fathi Soliman: OBOB to PHC AIRPORT</t>
  </si>
  <si>
    <t>Mohamed Fathi Soliman: lagos to hotel</t>
  </si>
  <si>
    <t>Mohamed Fathi Soliman: hotel to intl Airport</t>
  </si>
  <si>
    <t>ZOUBIR / TARIK: PH Airport to OBOB</t>
  </si>
  <si>
    <t>OBINNA EMMANUEL: OBOB to PHC</t>
  </si>
  <si>
    <t>PATEL Ashishkumar Chhimabhairi: PH Airport to OBOB</t>
  </si>
  <si>
    <t>Satoo Onyike: OBOB to PHC</t>
  </si>
  <si>
    <t>Crispulo  Rivera: PHC to Kwale</t>
  </si>
  <si>
    <t>RAJPUT Amarsingh: Lagos to hotel</t>
  </si>
  <si>
    <t>RAJPUT Amarsingh: hotel to Lagos Airport</t>
  </si>
  <si>
    <t>RAJPUT Amarsingh: PH Airport to OBOB</t>
  </si>
  <si>
    <t>Augustine Eze: Kwale to PHC -</t>
  </si>
  <si>
    <t>Crispulo Rivera: PHC to Kwale</t>
  </si>
  <si>
    <t>Robert Colwell: Lagos to Hotel</t>
  </si>
  <si>
    <t>Robert Colwell: Hotel to Lagos airport</t>
  </si>
  <si>
    <t>Robert Colwell: Hotel to PH airport to OBOB</t>
  </si>
  <si>
    <t>Robert Colwell: Lagos airport to International Airport</t>
  </si>
  <si>
    <t>MITRACHE Bogdan: OBOB to PH airport</t>
  </si>
  <si>
    <t>MITRACHE Bogdan: Lagos airport to Hotel</t>
  </si>
  <si>
    <t>MITRACHE Bogdan: Hotel to Intl Airport</t>
  </si>
  <si>
    <t>DE LUCA VINCEZO : OBOB to PH airport</t>
  </si>
  <si>
    <t>Gunja Samba Siva's: PH Airport to OBOB</t>
  </si>
  <si>
    <t>Aje Ayodeji Abayomi – OBOB to PH</t>
  </si>
  <si>
    <t>Chukwudi Osunwa – PHC to OBOB</t>
  </si>
  <si>
    <t>Eteng A. Samson – PHC to OBOB</t>
  </si>
  <si>
    <t>Franca Osuagwu – OBOB to PH</t>
  </si>
  <si>
    <t>Ogbedobor Daniel –</t>
  </si>
  <si>
    <t>Musa Mamman –  PH  to OBOB</t>
  </si>
  <si>
    <t>Khanindr Kauushik: PH airport to OBOB</t>
  </si>
  <si>
    <t>Anthony Usen: OBOB to PHC</t>
  </si>
  <si>
    <t>Robert Colwell: Lagos Airport to Hotel</t>
  </si>
  <si>
    <t>Robert Colwell: Hotel to Office, VI, Lagos</t>
  </si>
  <si>
    <t>Robert Colwell: Office to Lagos Airport</t>
  </si>
  <si>
    <t>Robert Colwell: PH Airport to Hotel (Late arrival)</t>
  </si>
  <si>
    <t xml:space="preserve">Robert Colwell: PH Hotel to OBOB </t>
  </si>
  <si>
    <t>Mohammed Kafi: OBOB to PHC Airport</t>
  </si>
  <si>
    <t>14/12/2025</t>
  </si>
  <si>
    <t>Tarik Zoubir: OBOB to PH Airport</t>
  </si>
  <si>
    <t>13/12/2025</t>
  </si>
  <si>
    <t>Mohammed Kafi: Lagos Airport to Hotel</t>
  </si>
  <si>
    <t>Mohammed Kafi: Hotel to Intl Airport</t>
  </si>
  <si>
    <t>15/12/2025</t>
  </si>
  <si>
    <t>Tarik Zoubir: Lagos Airport to Hotel</t>
  </si>
  <si>
    <t>Tarik Zoubir: Hotel to Intl Airport</t>
  </si>
  <si>
    <t>Omar Gharouba: from PH airport to OBOB</t>
  </si>
  <si>
    <t>Robert Colwell: OBOB to PHC to Airport</t>
  </si>
  <si>
    <t>Robert Colwell: Lagos airport to Intl Airport</t>
  </si>
  <si>
    <t>17/12/2025</t>
  </si>
  <si>
    <t>EZE AUGUSTINE: PHC to Kwale</t>
  </si>
  <si>
    <t>Chris Rivera - PHC to OBOB</t>
  </si>
  <si>
    <t>Gunja Samba Siva: PH airport to OBOB</t>
  </si>
  <si>
    <t>Dr Laz: PH Airport to OBOB</t>
  </si>
  <si>
    <t>Chiemela: PH Airport to Transafam</t>
  </si>
  <si>
    <t>Chiemela: Transafam to Oando (PHC)</t>
  </si>
  <si>
    <t>Chiemela: Oando to Hotel</t>
  </si>
  <si>
    <t>21/11/2025</t>
  </si>
  <si>
    <t>Dr Laz: Hotel to PH Airport</t>
  </si>
  <si>
    <t>Dr Laz and Rob: OBOB to Oando (PHC)</t>
  </si>
  <si>
    <t>Dr Laz and Rob: Oando to Hotel</t>
  </si>
  <si>
    <t>Chiemela and Rob: Hotel to PH Airport</t>
  </si>
  <si>
    <t>Dr Laz and Chiemela: Ph airport to Bayelsa</t>
  </si>
  <si>
    <t>Dr Laz and Chiemela: Hotel to Conference  to Hotel</t>
  </si>
  <si>
    <t>Dr Laz and Chiemela: Hotel to PH Airport</t>
  </si>
  <si>
    <t>Dr Laz: Lagos airport to Eden Heights</t>
  </si>
  <si>
    <t>PO 1140</t>
  </si>
  <si>
    <t>PO 1139</t>
  </si>
  <si>
    <t>PO 1093</t>
  </si>
  <si>
    <t>PO 1070</t>
  </si>
  <si>
    <t>29/10/2025</t>
  </si>
  <si>
    <t>30/10/2025</t>
  </si>
  <si>
    <t>31/10/2025</t>
  </si>
  <si>
    <t>14/11/2025</t>
  </si>
  <si>
    <t>15/11/2025</t>
  </si>
  <si>
    <t>16/11/2025</t>
  </si>
  <si>
    <t>17/11/2025</t>
  </si>
  <si>
    <t>18/11/2025</t>
  </si>
  <si>
    <t>22/11/2025</t>
  </si>
  <si>
    <t>27/11/2025</t>
  </si>
  <si>
    <t>28/11/2025</t>
  </si>
  <si>
    <t>26/11/2025</t>
  </si>
  <si>
    <t>25/11/2025</t>
  </si>
  <si>
    <t>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</si>
</sst>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6A]#,##0.00;[Red][$₦-46A]#,##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0" xfId="0" applyAlignment="1">
      <alignment vertical="top" wrapText="1"/>
    </xf>
    <xf numFmtId="0" fontId="1" fillId="2" borderId="1" xfId="0" applyFont="1" applyFill="1" applyBorder="1" applyAlignment="1">
      <alignment horizontal="center"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xf>
    <xf numFmtId="0" fontId="0" fillId="0" borderId="1" xfId="0" applyBorder="1" applyAlignment="1">
      <alignment horizontal="center"/>
    </xf>
    <xf numFmtId="164" fontId="0" fillId="0" borderId="1" xfId="0" applyNumberFormat="1" applyBorder="1" applyAlignment="1">
      <alignment horizontal="center" vertical="center"/>
    </xf>
    <xf numFmtId="0" fontId="0" fillId="0" borderId="6" xfId="0" applyBorder="1"/>
    <xf numFmtId="0" fontId="0" fillId="0" borderId="3" xfId="0" applyBorder="1" applyAlignment="1">
      <alignment horizontal="center"/>
    </xf>
    <xf numFmtId="0" fontId="0" fillId="0" borderId="7" xfId="0" applyBorder="1"/>
    <xf numFmtId="0" fontId="0" fillId="0" borderId="8" xfId="0" applyBorder="1" applyAlignment="1">
      <alignment horizontal="center"/>
    </xf>
    <xf numFmtId="0" fontId="1" fillId="0" borderId="9" xfId="0" applyFont="1" applyBorder="1"/>
    <xf numFmtId="0" fontId="1" fillId="0" borderId="10"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0" borderId="13" xfId="0"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1" fillId="3" borderId="14" xfId="0" applyFont="1" applyFill="1" applyBorder="1" applyAlignment="1">
      <alignment horizontal="center" vertical="top" wrapText="1"/>
    </xf>
    <xf numFmtId="0" fontId="1" fillId="3" borderId="4" xfId="0" applyFont="1" applyFill="1" applyBorder="1" applyAlignment="1">
      <alignment vertical="top"/>
    </xf>
    <xf numFmtId="0" fontId="1" fillId="3" borderId="5" xfId="0" applyFont="1" applyFill="1" applyBorder="1" applyAlignment="1">
      <alignment vertical="top"/>
    </xf>
    <xf numFmtId="0" fontId="1" fillId="3" borderId="15" xfId="0" applyFont="1" applyFill="1" applyBorder="1" applyAlignment="1">
      <alignment horizontal="center" vertical="top"/>
    </xf>
    <xf numFmtId="14" fontId="0" fillId="0" borderId="1" xfId="0" applyNumberFormat="1" applyBorder="1" applyAlignment="1">
      <alignment horizontal="center" wrapText="1"/>
    </xf>
    <xf numFmtId="14" fontId="0" fillId="0" borderId="1" xfId="0" applyNumberFormat="1" applyBorder="1" applyAlignment="1">
      <alignment horizontal="center" vertical="center"/>
    </xf>
    <xf numFmtId="0" fontId="0" fillId="0" borderId="1" xfId="0" applyBorder="1" applyAlignment="1">
      <alignment horizontal="left"/>
    </xf>
    <xf numFmtId="0" fontId="1" fillId="0" borderId="2" xfId="0" applyFont="1"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vertical="center" wrapText="1"/>
    </xf>
    <xf numFmtId="0" fontId="0" fillId="0" borderId="4" xfId="0" applyBorder="1" applyAlignment="1">
      <alignment horizontal="left" wrapText="1"/>
    </xf>
    <xf numFmtId="0" fontId="0" fillId="0" borderId="5" xfId="0" applyBorder="1" applyAlignment="1">
      <alignment horizontal="left" wrapText="1"/>
    </xf>
    <xf numFmtId="0" fontId="0" fillId="0" borderId="26" xfId="0" applyBorder="1" applyAlignment="1">
      <alignment horizontal="left" wrapText="1"/>
    </xf>
    <xf numFmtId="0" fontId="1" fillId="3" borderId="21" xfId="0" applyFont="1" applyFill="1" applyBorder="1" applyAlignment="1">
      <alignment horizontal="center"/>
    </xf>
    <xf numFmtId="0" fontId="1" fillId="3" borderId="22" xfId="0" applyFont="1" applyFill="1" applyBorder="1" applyAlignment="1">
      <alignment horizontal="center"/>
    </xf>
    <xf numFmtId="0" fontId="1" fillId="3" borderId="23" xfId="0" applyFont="1" applyFill="1" applyBorder="1" applyAlignment="1">
      <alignment horizontal="center"/>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0" fillId="0" borderId="24" xfId="0" applyBorder="1" applyAlignment="1">
      <alignment horizontal="left"/>
    </xf>
    <xf numFmtId="0" fontId="0" fillId="0" borderId="1" xfId="0" applyBorder="1" applyAlignment="1">
      <alignment horizontal="left"/>
    </xf>
    <xf numFmtId="0" fontId="0" fillId="0" borderId="25" xfId="0" applyBorder="1" applyAlignment="1">
      <alignment horizontal="left"/>
    </xf>
    <xf numFmtId="16" fontId="0" fillId="0" borderId="0" xfId="0" applyNumberFormat="1"/>
    <xf numFmtId="0" fontId="0" fillId="0" borderId="0" xfId="0" applyAlignment="1">
      <alignment horizontal="left"/>
    </xf>
    <xf numFmtId="15" fontId="0" fillId="0" borderId="1" xfId="0" applyNumberFormat="1" applyBorder="1" applyAlignment="1">
      <alignment horizontal="center"/>
    </xf>
    <xf numFmtId="0" fontId="0" fillId="0" borderId="1" xfId="0" applyBorder="1" applyAlignment="1">
      <alignment horizontal="center" wrapText="1"/>
    </xf>
    <xf numFmtId="0" fontId="0" fillId="0" borderId="1" xfId="0" applyBorder="1" applyAlignment="1"/>
    <xf numFmtId="0" fontId="0" fillId="0" borderId="1" xfId="0" applyBorder="1" applyAlignment="1">
      <alignment horizontal="left" vertical="top" wrapText="1"/>
    </xf>
    <xf numFmtId="0" fontId="0" fillId="0" borderId="1" xfId="0" applyBorder="1" applyAlignment="1">
      <alignment horizontal="left" wrapText="1"/>
    </xf>
    <xf numFmtId="15" fontId="0" fillId="0" borderId="1" xfId="0" applyNumberFormat="1" applyBorder="1" applyAlignment="1">
      <alignment horizontal="left"/>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BEDABFD-816C-4284-8C81-6C7DE933576D}" type="doc">
      <dgm:prSet loTypeId="urn:microsoft.com/office/officeart/2005/8/layout/bProcess2" loCatId="process" qsTypeId="urn:microsoft.com/office/officeart/2005/8/quickstyle/simple1" qsCatId="simple" csTypeId="urn:microsoft.com/office/officeart/2005/8/colors/accent1_2" csCatId="accent1" phldr="1"/>
      <dgm:spPr/>
      <dgm:t>
        <a:bodyPr/>
        <a:lstStyle/>
        <a:p>
          <a:endParaRPr lang="en-US"/>
        </a:p>
      </dgm:t>
    </dgm:pt>
    <dgm:pt modelId="{13CB2985-8949-4060-80B1-D4D8E9C3D0B7}">
      <dgm:prSet phldrT="[Text]" custT="1"/>
      <dgm:spPr/>
      <dgm:t>
        <a:bodyPr/>
        <a:lstStyle/>
        <a:p>
          <a:r>
            <a:rPr lang="en-US" sz="1200">
              <a:latin typeface="Times New Roman" panose="02020603050405020304" pitchFamily="18" charset="0"/>
              <a:cs typeface="Times New Roman" panose="02020603050405020304" pitchFamily="18" charset="0"/>
            </a:rPr>
            <a:t>Travel Request is raised and shared by HR</a:t>
          </a:r>
        </a:p>
      </dgm:t>
    </dgm:pt>
    <dgm:pt modelId="{49E22EC2-0FBA-4A36-864E-4673490ABC2D}" type="parTrans" cxnId="{5C133093-E33E-4F93-819D-DB8E534EA037}">
      <dgm:prSet/>
      <dgm:spPr/>
      <dgm:t>
        <a:bodyPr/>
        <a:lstStyle/>
        <a:p>
          <a:endParaRPr lang="en-US"/>
        </a:p>
      </dgm:t>
    </dgm:pt>
    <dgm:pt modelId="{34509D9D-7EEE-4FD8-BCC5-E4DF3D987D08}" type="sibTrans" cxnId="{5C133093-E33E-4F93-819D-DB8E534EA037}">
      <dgm:prSet/>
      <dgm:spPr/>
      <dgm:t>
        <a:bodyPr/>
        <a:lstStyle/>
        <a:p>
          <a:endParaRPr lang="en-US"/>
        </a:p>
      </dgm:t>
    </dgm:pt>
    <dgm:pt modelId="{8BC41DE7-E10B-46B3-8FDD-931F8790DD8C}">
      <dgm:prSet phldrT="[Text]" custT="1"/>
      <dgm:spPr/>
      <dgm:t>
        <a:bodyPr/>
        <a:lstStyle/>
        <a:p>
          <a:r>
            <a:rPr lang="en-US" sz="1200">
              <a:latin typeface="Times New Roman" panose="02020603050405020304" pitchFamily="18" charset="0"/>
              <a:cs typeface="Times New Roman" panose="02020603050405020304" pitchFamily="18" charset="0"/>
            </a:rPr>
            <a:t>Logistics Plan and Approval  by Logistics Team</a:t>
          </a:r>
        </a:p>
      </dgm:t>
    </dgm:pt>
    <dgm:pt modelId="{B90FFC4C-4599-40C5-ABA1-661131E9A848}" type="parTrans" cxnId="{8EA8F8A6-1A55-4C0A-9CFC-D0897D4D505D}">
      <dgm:prSet/>
      <dgm:spPr/>
      <dgm:t>
        <a:bodyPr/>
        <a:lstStyle/>
        <a:p>
          <a:endParaRPr lang="en-US"/>
        </a:p>
      </dgm:t>
    </dgm:pt>
    <dgm:pt modelId="{B50DAABF-FE5C-4394-9DFC-63A692D36C03}" type="sibTrans" cxnId="{8EA8F8A6-1A55-4C0A-9CFC-D0897D4D505D}">
      <dgm:prSet/>
      <dgm:spPr/>
      <dgm:t>
        <a:bodyPr/>
        <a:lstStyle/>
        <a:p>
          <a:endParaRPr lang="en-US"/>
        </a:p>
      </dgm:t>
    </dgm:pt>
    <dgm:pt modelId="{D23743BD-B593-4E9D-9006-F0C29FD8EAA6}">
      <dgm:prSet phldrT="[Text]" custT="1"/>
      <dgm:spPr/>
      <dgm:t>
        <a:bodyPr/>
        <a:lstStyle/>
        <a:p>
          <a:r>
            <a:rPr lang="en-US" sz="1200">
              <a:latin typeface="Times New Roman" panose="02020603050405020304" pitchFamily="18" charset="0"/>
              <a:cs typeface="Times New Roman" panose="02020603050405020304" pitchFamily="18" charset="0"/>
            </a:rPr>
            <a:t>Logistics Team contacts vendor for pricing</a:t>
          </a:r>
        </a:p>
      </dgm:t>
    </dgm:pt>
    <dgm:pt modelId="{CA781B4E-F48B-4E9A-ABF9-4535CDF488B0}" type="parTrans" cxnId="{700DC631-7F43-4050-9977-1D60B6E895D9}">
      <dgm:prSet/>
      <dgm:spPr/>
      <dgm:t>
        <a:bodyPr/>
        <a:lstStyle/>
        <a:p>
          <a:endParaRPr lang="en-US"/>
        </a:p>
      </dgm:t>
    </dgm:pt>
    <dgm:pt modelId="{0C49C46D-FF22-449D-8109-1365E050AE65}" type="sibTrans" cxnId="{700DC631-7F43-4050-9977-1D60B6E895D9}">
      <dgm:prSet/>
      <dgm:spPr/>
      <dgm:t>
        <a:bodyPr/>
        <a:lstStyle/>
        <a:p>
          <a:endParaRPr lang="en-US"/>
        </a:p>
      </dgm:t>
    </dgm:pt>
    <dgm:pt modelId="{59F229D4-3E5A-4DC8-BD45-7D63ED59D868}">
      <dgm:prSet phldrT="[Text]" custT="1"/>
      <dgm:spPr/>
      <dgm:t>
        <a:bodyPr/>
        <a:lstStyle/>
        <a:p>
          <a:r>
            <a:rPr lang="en-US" sz="1200">
              <a:latin typeface="Times New Roman" panose="02020603050405020304" pitchFamily="18" charset="0"/>
              <a:cs typeface="Times New Roman" panose="02020603050405020304" pitchFamily="18" charset="0"/>
            </a:rPr>
            <a:t>Logistics Team raises PO</a:t>
          </a:r>
        </a:p>
      </dgm:t>
    </dgm:pt>
    <dgm:pt modelId="{CB611F8A-2257-4AF8-AE49-2DD99F16B3DE}" type="parTrans" cxnId="{C5285AF6-3D92-4782-9E0F-4B53C80E385A}">
      <dgm:prSet/>
      <dgm:spPr/>
      <dgm:t>
        <a:bodyPr/>
        <a:lstStyle/>
        <a:p>
          <a:endParaRPr lang="en-US"/>
        </a:p>
      </dgm:t>
    </dgm:pt>
    <dgm:pt modelId="{A99AE04B-C17E-477D-91E1-15F59149823B}" type="sibTrans" cxnId="{C5285AF6-3D92-4782-9E0F-4B53C80E385A}">
      <dgm:prSet/>
      <dgm:spPr/>
      <dgm:t>
        <a:bodyPr/>
        <a:lstStyle/>
        <a:p>
          <a:endParaRPr lang="en-US"/>
        </a:p>
      </dgm:t>
    </dgm:pt>
    <dgm:pt modelId="{F48695DC-5185-4E54-A990-1331DB1C4872}">
      <dgm:prSet phldrT="[Text]" custT="1"/>
      <dgm:spPr/>
      <dgm:t>
        <a:bodyPr/>
        <a:lstStyle/>
        <a:p>
          <a:r>
            <a:rPr lang="en-US" sz="1200">
              <a:latin typeface="Times New Roman" panose="02020603050405020304" pitchFamily="18" charset="0"/>
              <a:cs typeface="Times New Roman" panose="02020603050405020304" pitchFamily="18" charset="0"/>
            </a:rPr>
            <a:t>Logistics Team share signed PO with Vendor. </a:t>
          </a:r>
        </a:p>
      </dgm:t>
    </dgm:pt>
    <dgm:pt modelId="{1067AEE7-7934-4B93-86AF-BFBBB9C37402}" type="parTrans" cxnId="{10F50FFC-CDE2-4382-962F-AAB7D7F36E32}">
      <dgm:prSet/>
      <dgm:spPr/>
      <dgm:t>
        <a:bodyPr/>
        <a:lstStyle/>
        <a:p>
          <a:endParaRPr lang="en-US"/>
        </a:p>
      </dgm:t>
    </dgm:pt>
    <dgm:pt modelId="{6B61EDF2-0398-4D60-B9B0-A83E660F75A2}" type="sibTrans" cxnId="{10F50FFC-CDE2-4382-962F-AAB7D7F36E32}">
      <dgm:prSet/>
      <dgm:spPr/>
      <dgm:t>
        <a:bodyPr/>
        <a:lstStyle/>
        <a:p>
          <a:endParaRPr lang="en-US"/>
        </a:p>
      </dgm:t>
    </dgm:pt>
    <dgm:pt modelId="{30022CEA-1B1F-49F4-A0D6-C591D019EB15}">
      <dgm:prSet phldrT="[Text]" custT="1"/>
      <dgm:spPr/>
      <dgm:t>
        <a:bodyPr/>
        <a:lstStyle/>
        <a:p>
          <a:r>
            <a:rPr lang="en-US" sz="1200">
              <a:latin typeface="Times New Roman" panose="02020603050405020304" pitchFamily="18" charset="0"/>
              <a:cs typeface="Times New Roman" panose="02020603050405020304" pitchFamily="18" charset="0"/>
            </a:rPr>
            <a:t>Job/Service Delivered. Job Completion Certificate is jointly signed</a:t>
          </a:r>
        </a:p>
      </dgm:t>
    </dgm:pt>
    <dgm:pt modelId="{33855BF4-E14D-4264-9485-E9A7FE0A9F0B}" type="parTrans" cxnId="{6EA548A8-9A8B-4902-9226-6302158CA056}">
      <dgm:prSet/>
      <dgm:spPr/>
      <dgm:t>
        <a:bodyPr/>
        <a:lstStyle/>
        <a:p>
          <a:endParaRPr lang="en-US"/>
        </a:p>
      </dgm:t>
    </dgm:pt>
    <dgm:pt modelId="{82FC890D-C274-43D1-8997-56B96528BBCF}" type="sibTrans" cxnId="{6EA548A8-9A8B-4902-9226-6302158CA056}">
      <dgm:prSet/>
      <dgm:spPr/>
      <dgm:t>
        <a:bodyPr/>
        <a:lstStyle/>
        <a:p>
          <a:endParaRPr lang="en-US"/>
        </a:p>
      </dgm:t>
    </dgm:pt>
    <dgm:pt modelId="{FF479B8F-B1E6-43EC-832C-7D6C542B50DC}">
      <dgm:prSet phldrT="[Text]" custT="1"/>
      <dgm:spPr/>
      <dgm:t>
        <a:bodyPr/>
        <a:lstStyle/>
        <a:p>
          <a:r>
            <a:rPr lang="en-US" sz="1200">
              <a:latin typeface="Times New Roman" panose="02020603050405020304" pitchFamily="18" charset="0"/>
              <a:cs typeface="Times New Roman" panose="02020603050405020304" pitchFamily="18" charset="0"/>
            </a:rPr>
            <a:t>Vendor share invoice and already sent PO, invoice and JCC to logistics and accountpayable</a:t>
          </a:r>
        </a:p>
      </dgm:t>
    </dgm:pt>
    <dgm:pt modelId="{D7D9317F-11C0-4500-8E98-92FC087CC268}" type="parTrans" cxnId="{598F03D1-CDF8-46C7-AAD2-996AE9E16555}">
      <dgm:prSet/>
      <dgm:spPr/>
      <dgm:t>
        <a:bodyPr/>
        <a:lstStyle/>
        <a:p>
          <a:endParaRPr lang="en-US"/>
        </a:p>
      </dgm:t>
    </dgm:pt>
    <dgm:pt modelId="{E0A501D4-14C0-49B7-B44D-BEDA3FBB24C8}" type="sibTrans" cxnId="{598F03D1-CDF8-46C7-AAD2-996AE9E16555}">
      <dgm:prSet/>
      <dgm:spPr/>
      <dgm:t>
        <a:bodyPr/>
        <a:lstStyle/>
        <a:p>
          <a:endParaRPr lang="en-US"/>
        </a:p>
      </dgm:t>
    </dgm:pt>
    <dgm:pt modelId="{401D25D2-94BC-4D96-BCA6-7333B24267E8}">
      <dgm:prSet phldrT="[Text]" custT="1"/>
      <dgm:spPr/>
      <dgm:t>
        <a:bodyPr/>
        <a:lstStyle/>
        <a:p>
          <a:r>
            <a:rPr lang="en-US" sz="1200">
              <a:latin typeface="Times New Roman" panose="02020603050405020304" pitchFamily="18" charset="0"/>
              <a:cs typeface="Times New Roman" panose="02020603050405020304" pitchFamily="18" charset="0"/>
            </a:rPr>
            <a:t>Finance confirms docs and effect payment based on agreed terms</a:t>
          </a:r>
        </a:p>
      </dgm:t>
    </dgm:pt>
    <dgm:pt modelId="{9D7A13A6-9475-4FBC-A086-01F4D7A75030}" type="parTrans" cxnId="{E960D0DF-8599-4179-9B19-CFB8EA356152}">
      <dgm:prSet/>
      <dgm:spPr/>
      <dgm:t>
        <a:bodyPr/>
        <a:lstStyle/>
        <a:p>
          <a:endParaRPr lang="en-US"/>
        </a:p>
      </dgm:t>
    </dgm:pt>
    <dgm:pt modelId="{299A233D-C319-498F-B73E-3AF29B03EC12}" type="sibTrans" cxnId="{E960D0DF-8599-4179-9B19-CFB8EA356152}">
      <dgm:prSet/>
      <dgm:spPr/>
      <dgm:t>
        <a:bodyPr/>
        <a:lstStyle/>
        <a:p>
          <a:endParaRPr lang="en-US"/>
        </a:p>
      </dgm:t>
    </dgm:pt>
    <dgm:pt modelId="{D4778335-EF3B-4715-8977-18527F89EB98}">
      <dgm:prSet phldrT="[Text]" custT="1"/>
      <dgm:spPr/>
      <dgm:t>
        <a:bodyPr/>
        <a:lstStyle/>
        <a:p>
          <a:r>
            <a:rPr lang="en-US" sz="1200">
              <a:latin typeface="Times New Roman" panose="02020603050405020304" pitchFamily="18" charset="0"/>
              <a:cs typeface="Times New Roman" panose="02020603050405020304" pitchFamily="18" charset="0"/>
            </a:rPr>
            <a:t>Vendor payment confirmation  by Logistics team </a:t>
          </a:r>
        </a:p>
      </dgm:t>
    </dgm:pt>
    <dgm:pt modelId="{823DA65E-99E3-4297-A61A-87411540FE01}" type="parTrans" cxnId="{40C7BF6F-6BDD-4E32-89C8-CB068974D097}">
      <dgm:prSet/>
      <dgm:spPr/>
      <dgm:t>
        <a:bodyPr/>
        <a:lstStyle/>
        <a:p>
          <a:endParaRPr lang="en-US"/>
        </a:p>
      </dgm:t>
    </dgm:pt>
    <dgm:pt modelId="{B3FEC756-0FAE-4BBE-8C15-7DA555DC05C8}" type="sibTrans" cxnId="{40C7BF6F-6BDD-4E32-89C8-CB068974D097}">
      <dgm:prSet/>
      <dgm:spPr/>
      <dgm:t>
        <a:bodyPr/>
        <a:lstStyle/>
        <a:p>
          <a:endParaRPr lang="en-US"/>
        </a:p>
      </dgm:t>
    </dgm:pt>
    <dgm:pt modelId="{643FB12F-562E-4A14-A39A-DA8EA2DCE44E}" type="pres">
      <dgm:prSet presAssocID="{BBEDABFD-816C-4284-8C81-6C7DE933576D}" presName="diagram" presStyleCnt="0">
        <dgm:presLayoutVars>
          <dgm:dir/>
          <dgm:resizeHandles/>
        </dgm:presLayoutVars>
      </dgm:prSet>
      <dgm:spPr/>
    </dgm:pt>
    <dgm:pt modelId="{31407C60-A3D0-4641-9287-DFF84B50E716}" type="pres">
      <dgm:prSet presAssocID="{13CB2985-8949-4060-80B1-D4D8E9C3D0B7}" presName="firstNode" presStyleLbl="node1" presStyleIdx="0" presStyleCnt="9" custScaleX="110406" custScaleY="118761">
        <dgm:presLayoutVars>
          <dgm:bulletEnabled val="1"/>
        </dgm:presLayoutVars>
      </dgm:prSet>
      <dgm:spPr/>
    </dgm:pt>
    <dgm:pt modelId="{14ED5B05-AAE2-4A4C-B88F-94AB4F948199}" type="pres">
      <dgm:prSet presAssocID="{34509D9D-7EEE-4FD8-BCC5-E4DF3D987D08}" presName="sibTrans" presStyleLbl="sibTrans2D1" presStyleIdx="0" presStyleCnt="8"/>
      <dgm:spPr/>
    </dgm:pt>
    <dgm:pt modelId="{0800BC6B-4899-484F-8EA2-E6E00E618497}" type="pres">
      <dgm:prSet presAssocID="{8BC41DE7-E10B-46B3-8FDD-931F8790DD8C}" presName="middleNode" presStyleCnt="0"/>
      <dgm:spPr/>
    </dgm:pt>
    <dgm:pt modelId="{CA936E0E-503A-45CC-AC97-BD34056FFBFF}" type="pres">
      <dgm:prSet presAssocID="{8BC41DE7-E10B-46B3-8FDD-931F8790DD8C}" presName="padding" presStyleLbl="node1" presStyleIdx="0" presStyleCnt="9"/>
      <dgm:spPr/>
    </dgm:pt>
    <dgm:pt modelId="{AED53D56-2F49-4428-91D0-D7AF46154189}" type="pres">
      <dgm:prSet presAssocID="{8BC41DE7-E10B-46B3-8FDD-931F8790DD8C}" presName="shape" presStyleLbl="node1" presStyleIdx="1" presStyleCnt="9" custScaleX="187699" custScaleY="176346">
        <dgm:presLayoutVars>
          <dgm:bulletEnabled val="1"/>
        </dgm:presLayoutVars>
      </dgm:prSet>
      <dgm:spPr/>
    </dgm:pt>
    <dgm:pt modelId="{95222316-B77E-4A2F-B764-99DA526C401A}" type="pres">
      <dgm:prSet presAssocID="{B50DAABF-FE5C-4394-9DFC-63A692D36C03}" presName="sibTrans" presStyleLbl="sibTrans2D1" presStyleIdx="1" presStyleCnt="8"/>
      <dgm:spPr/>
    </dgm:pt>
    <dgm:pt modelId="{F01BDBCD-42EF-4679-83D9-B3D3563FAC5B}" type="pres">
      <dgm:prSet presAssocID="{D23743BD-B593-4E9D-9006-F0C29FD8EAA6}" presName="middleNode" presStyleCnt="0"/>
      <dgm:spPr/>
    </dgm:pt>
    <dgm:pt modelId="{252A201C-FEF6-4F78-9342-8C9B5999A9E5}" type="pres">
      <dgm:prSet presAssocID="{D23743BD-B593-4E9D-9006-F0C29FD8EAA6}" presName="padding" presStyleLbl="node1" presStyleIdx="1" presStyleCnt="9"/>
      <dgm:spPr/>
    </dgm:pt>
    <dgm:pt modelId="{A93AD9EE-2B78-4429-8838-7AF20B5CC47E}" type="pres">
      <dgm:prSet presAssocID="{D23743BD-B593-4E9D-9006-F0C29FD8EAA6}" presName="shape" presStyleLbl="node1" presStyleIdx="2" presStyleCnt="9" custScaleX="163821" custScaleY="159391">
        <dgm:presLayoutVars>
          <dgm:bulletEnabled val="1"/>
        </dgm:presLayoutVars>
      </dgm:prSet>
      <dgm:spPr/>
    </dgm:pt>
    <dgm:pt modelId="{6B9E2355-4674-491F-B7C0-F1DDE4CB1707}" type="pres">
      <dgm:prSet presAssocID="{0C49C46D-FF22-449D-8109-1365E050AE65}" presName="sibTrans" presStyleLbl="sibTrans2D1" presStyleIdx="2" presStyleCnt="8"/>
      <dgm:spPr/>
    </dgm:pt>
    <dgm:pt modelId="{3FB029D3-F667-44BA-A2D3-ED212E8160C1}" type="pres">
      <dgm:prSet presAssocID="{59F229D4-3E5A-4DC8-BD45-7D63ED59D868}" presName="middleNode" presStyleCnt="0"/>
      <dgm:spPr/>
    </dgm:pt>
    <dgm:pt modelId="{7940D6EE-6016-456A-8B75-82F519076B16}" type="pres">
      <dgm:prSet presAssocID="{59F229D4-3E5A-4DC8-BD45-7D63ED59D868}" presName="padding" presStyleLbl="node1" presStyleIdx="2" presStyleCnt="9"/>
      <dgm:spPr/>
    </dgm:pt>
    <dgm:pt modelId="{17E346CA-E19C-43F2-BFF0-24B688AB3E07}" type="pres">
      <dgm:prSet presAssocID="{59F229D4-3E5A-4DC8-BD45-7D63ED59D868}" presName="shape" presStyleLbl="node1" presStyleIdx="3" presStyleCnt="9" custScaleX="178990" custScaleY="176921">
        <dgm:presLayoutVars>
          <dgm:bulletEnabled val="1"/>
        </dgm:presLayoutVars>
      </dgm:prSet>
      <dgm:spPr/>
    </dgm:pt>
    <dgm:pt modelId="{D442DC6D-E64B-4056-874A-8E8E90FEB433}" type="pres">
      <dgm:prSet presAssocID="{A99AE04B-C17E-477D-91E1-15F59149823B}" presName="sibTrans" presStyleLbl="sibTrans2D1" presStyleIdx="3" presStyleCnt="8"/>
      <dgm:spPr/>
    </dgm:pt>
    <dgm:pt modelId="{F0AD6D70-0C97-4172-9D13-5275FFA9507E}" type="pres">
      <dgm:prSet presAssocID="{F48695DC-5185-4E54-A990-1331DB1C4872}" presName="middleNode" presStyleCnt="0"/>
      <dgm:spPr/>
    </dgm:pt>
    <dgm:pt modelId="{0DDC9DF4-4796-4A7D-BA0A-B7422BBFAD69}" type="pres">
      <dgm:prSet presAssocID="{F48695DC-5185-4E54-A990-1331DB1C4872}" presName="padding" presStyleLbl="node1" presStyleIdx="3" presStyleCnt="9"/>
      <dgm:spPr/>
    </dgm:pt>
    <dgm:pt modelId="{7FEE97A0-8712-4477-AD0E-9DC525A9B35B}" type="pres">
      <dgm:prSet presAssocID="{F48695DC-5185-4E54-A990-1331DB1C4872}" presName="shape" presStyleLbl="node1" presStyleIdx="4" presStyleCnt="9" custScaleX="172996" custScaleY="168286">
        <dgm:presLayoutVars>
          <dgm:bulletEnabled val="1"/>
        </dgm:presLayoutVars>
      </dgm:prSet>
      <dgm:spPr/>
    </dgm:pt>
    <dgm:pt modelId="{E6875B81-DCBA-4FEA-AED5-3CC4BD40428C}" type="pres">
      <dgm:prSet presAssocID="{6B61EDF2-0398-4D60-B9B0-A83E660F75A2}" presName="sibTrans" presStyleLbl="sibTrans2D1" presStyleIdx="4" presStyleCnt="8"/>
      <dgm:spPr/>
    </dgm:pt>
    <dgm:pt modelId="{1F3CD6C6-9348-4A43-B005-E86E78249DAF}" type="pres">
      <dgm:prSet presAssocID="{30022CEA-1B1F-49F4-A0D6-C591D019EB15}" presName="middleNode" presStyleCnt="0"/>
      <dgm:spPr/>
    </dgm:pt>
    <dgm:pt modelId="{FE0F6BC8-9288-4963-9BFB-A220122ED4A5}" type="pres">
      <dgm:prSet presAssocID="{30022CEA-1B1F-49F4-A0D6-C591D019EB15}" presName="padding" presStyleLbl="node1" presStyleIdx="4" presStyleCnt="9"/>
      <dgm:spPr/>
    </dgm:pt>
    <dgm:pt modelId="{6BF0FEF2-CF06-4AC3-9589-338190F202E8}" type="pres">
      <dgm:prSet presAssocID="{30022CEA-1B1F-49F4-A0D6-C591D019EB15}" presName="shape" presStyleLbl="node1" presStyleIdx="5" presStyleCnt="9" custScaleX="186592" custScaleY="175292">
        <dgm:presLayoutVars>
          <dgm:bulletEnabled val="1"/>
        </dgm:presLayoutVars>
      </dgm:prSet>
      <dgm:spPr/>
    </dgm:pt>
    <dgm:pt modelId="{53A30BBD-32AA-4F6A-8F52-AA9B1B6D739C}" type="pres">
      <dgm:prSet presAssocID="{82FC890D-C274-43D1-8997-56B96528BBCF}" presName="sibTrans" presStyleLbl="sibTrans2D1" presStyleIdx="5" presStyleCnt="8"/>
      <dgm:spPr/>
    </dgm:pt>
    <dgm:pt modelId="{6480BC97-8F57-4F01-90A4-538F8D78FB88}" type="pres">
      <dgm:prSet presAssocID="{FF479B8F-B1E6-43EC-832C-7D6C542B50DC}" presName="middleNode" presStyleCnt="0"/>
      <dgm:spPr/>
    </dgm:pt>
    <dgm:pt modelId="{EA93F0B4-4CC6-45CC-9F3F-66CC0AC9B0EA}" type="pres">
      <dgm:prSet presAssocID="{FF479B8F-B1E6-43EC-832C-7D6C542B50DC}" presName="padding" presStyleLbl="node1" presStyleIdx="5" presStyleCnt="9"/>
      <dgm:spPr/>
    </dgm:pt>
    <dgm:pt modelId="{80BEC505-924F-4920-B1C3-24C1052C06B1}" type="pres">
      <dgm:prSet presAssocID="{FF479B8F-B1E6-43EC-832C-7D6C542B50DC}" presName="shape" presStyleLbl="node1" presStyleIdx="6" presStyleCnt="9" custScaleX="213510" custScaleY="197480">
        <dgm:presLayoutVars>
          <dgm:bulletEnabled val="1"/>
        </dgm:presLayoutVars>
      </dgm:prSet>
      <dgm:spPr/>
    </dgm:pt>
    <dgm:pt modelId="{98FB7070-509A-455B-B428-09B1B406E891}" type="pres">
      <dgm:prSet presAssocID="{E0A501D4-14C0-49B7-B44D-BEDA3FBB24C8}" presName="sibTrans" presStyleLbl="sibTrans2D1" presStyleIdx="6" presStyleCnt="8"/>
      <dgm:spPr/>
    </dgm:pt>
    <dgm:pt modelId="{04D1767C-D3CE-4CC4-8D45-C4DC2C21B78F}" type="pres">
      <dgm:prSet presAssocID="{401D25D2-94BC-4D96-BCA6-7333B24267E8}" presName="middleNode" presStyleCnt="0"/>
      <dgm:spPr/>
    </dgm:pt>
    <dgm:pt modelId="{E7F2D501-CF0B-4F3C-8F35-A8E0FBC39F65}" type="pres">
      <dgm:prSet presAssocID="{401D25D2-94BC-4D96-BCA6-7333B24267E8}" presName="padding" presStyleLbl="node1" presStyleIdx="6" presStyleCnt="9"/>
      <dgm:spPr/>
    </dgm:pt>
    <dgm:pt modelId="{CB045313-4117-467B-B89D-5495ED47CFE3}" type="pres">
      <dgm:prSet presAssocID="{401D25D2-94BC-4D96-BCA6-7333B24267E8}" presName="shape" presStyleLbl="node1" presStyleIdx="7" presStyleCnt="9" custScaleX="171883" custScaleY="167396">
        <dgm:presLayoutVars>
          <dgm:bulletEnabled val="1"/>
        </dgm:presLayoutVars>
      </dgm:prSet>
      <dgm:spPr/>
    </dgm:pt>
    <dgm:pt modelId="{5E9691D3-8277-4E42-8AE6-77AE06C94A67}" type="pres">
      <dgm:prSet presAssocID="{299A233D-C319-498F-B73E-3AF29B03EC12}" presName="sibTrans" presStyleLbl="sibTrans2D1" presStyleIdx="7" presStyleCnt="8"/>
      <dgm:spPr/>
    </dgm:pt>
    <dgm:pt modelId="{2FECFC85-0B9E-4F89-AE87-DC36AE629839}" type="pres">
      <dgm:prSet presAssocID="{D4778335-EF3B-4715-8977-18527F89EB98}" presName="lastNode" presStyleLbl="node1" presStyleIdx="8" presStyleCnt="9" custScaleX="105108" custScaleY="106592">
        <dgm:presLayoutVars>
          <dgm:bulletEnabled val="1"/>
        </dgm:presLayoutVars>
      </dgm:prSet>
      <dgm:spPr/>
    </dgm:pt>
  </dgm:ptLst>
  <dgm:cxnLst>
    <dgm:cxn modelId="{A3FF1B00-505F-4AAE-A1E3-505EFDB91639}" type="presOf" srcId="{E0A501D4-14C0-49B7-B44D-BEDA3FBB24C8}" destId="{98FB7070-509A-455B-B428-09B1B406E891}" srcOrd="0" destOrd="0" presId="urn:microsoft.com/office/officeart/2005/8/layout/bProcess2"/>
    <dgm:cxn modelId="{F26AB505-2EA6-4CDC-97BA-FC68C08AD394}" type="presOf" srcId="{FF479B8F-B1E6-43EC-832C-7D6C542B50DC}" destId="{80BEC505-924F-4920-B1C3-24C1052C06B1}" srcOrd="0" destOrd="0" presId="urn:microsoft.com/office/officeart/2005/8/layout/bProcess2"/>
    <dgm:cxn modelId="{F5797509-ED52-44C3-BA9D-EF4E891F4019}" type="presOf" srcId="{401D25D2-94BC-4D96-BCA6-7333B24267E8}" destId="{CB045313-4117-467B-B89D-5495ED47CFE3}" srcOrd="0" destOrd="0" presId="urn:microsoft.com/office/officeart/2005/8/layout/bProcess2"/>
    <dgm:cxn modelId="{D145550B-0602-46B0-8C66-BCF7DA956E4B}" type="presOf" srcId="{30022CEA-1B1F-49F4-A0D6-C591D019EB15}" destId="{6BF0FEF2-CF06-4AC3-9589-338190F202E8}" srcOrd="0" destOrd="0" presId="urn:microsoft.com/office/officeart/2005/8/layout/bProcess2"/>
    <dgm:cxn modelId="{9808FD0B-94DE-4457-8C14-9DD1935FC4D3}" type="presOf" srcId="{8BC41DE7-E10B-46B3-8FDD-931F8790DD8C}" destId="{AED53D56-2F49-4428-91D0-D7AF46154189}" srcOrd="0" destOrd="0" presId="urn:microsoft.com/office/officeart/2005/8/layout/bProcess2"/>
    <dgm:cxn modelId="{04BC0928-DA3D-4347-AA42-458CFC6E1170}" type="presOf" srcId="{A99AE04B-C17E-477D-91E1-15F59149823B}" destId="{D442DC6D-E64B-4056-874A-8E8E90FEB433}" srcOrd="0" destOrd="0" presId="urn:microsoft.com/office/officeart/2005/8/layout/bProcess2"/>
    <dgm:cxn modelId="{AC8D562E-4117-40B8-B8F8-F0327CD97B56}" type="presOf" srcId="{D23743BD-B593-4E9D-9006-F0C29FD8EAA6}" destId="{A93AD9EE-2B78-4429-8838-7AF20B5CC47E}" srcOrd="0" destOrd="0" presId="urn:microsoft.com/office/officeart/2005/8/layout/bProcess2"/>
    <dgm:cxn modelId="{700DC631-7F43-4050-9977-1D60B6E895D9}" srcId="{BBEDABFD-816C-4284-8C81-6C7DE933576D}" destId="{D23743BD-B593-4E9D-9006-F0C29FD8EAA6}" srcOrd="2" destOrd="0" parTransId="{CA781B4E-F48B-4E9A-ABF9-4535CDF488B0}" sibTransId="{0C49C46D-FF22-449D-8109-1365E050AE65}"/>
    <dgm:cxn modelId="{8E14E938-57CD-4BD6-A0B7-1D9365FB4134}" type="presOf" srcId="{D4778335-EF3B-4715-8977-18527F89EB98}" destId="{2FECFC85-0B9E-4F89-AE87-DC36AE629839}" srcOrd="0" destOrd="0" presId="urn:microsoft.com/office/officeart/2005/8/layout/bProcess2"/>
    <dgm:cxn modelId="{5CEA1239-8900-4330-B61D-8CC8D38245AD}" type="presOf" srcId="{13CB2985-8949-4060-80B1-D4D8E9C3D0B7}" destId="{31407C60-A3D0-4641-9287-DFF84B50E716}" srcOrd="0" destOrd="0" presId="urn:microsoft.com/office/officeart/2005/8/layout/bProcess2"/>
    <dgm:cxn modelId="{1C76C839-7C09-4578-A064-89F666A6F042}" type="presOf" srcId="{299A233D-C319-498F-B73E-3AF29B03EC12}" destId="{5E9691D3-8277-4E42-8AE6-77AE06C94A67}" srcOrd="0" destOrd="0" presId="urn:microsoft.com/office/officeart/2005/8/layout/bProcess2"/>
    <dgm:cxn modelId="{65A4C43F-5804-4154-87B7-6330E3CFD149}" type="presOf" srcId="{59F229D4-3E5A-4DC8-BD45-7D63ED59D868}" destId="{17E346CA-E19C-43F2-BFF0-24B688AB3E07}" srcOrd="0" destOrd="0" presId="urn:microsoft.com/office/officeart/2005/8/layout/bProcess2"/>
    <dgm:cxn modelId="{67B82467-8050-4876-B3A9-0BEC17EC0A1B}" type="presOf" srcId="{82FC890D-C274-43D1-8997-56B96528BBCF}" destId="{53A30BBD-32AA-4F6A-8F52-AA9B1B6D739C}" srcOrd="0" destOrd="0" presId="urn:microsoft.com/office/officeart/2005/8/layout/bProcess2"/>
    <dgm:cxn modelId="{40C7BF6F-6BDD-4E32-89C8-CB068974D097}" srcId="{BBEDABFD-816C-4284-8C81-6C7DE933576D}" destId="{D4778335-EF3B-4715-8977-18527F89EB98}" srcOrd="8" destOrd="0" parTransId="{823DA65E-99E3-4297-A61A-87411540FE01}" sibTransId="{B3FEC756-0FAE-4BBE-8C15-7DA555DC05C8}"/>
    <dgm:cxn modelId="{533A6071-A151-4F9B-9EB0-649BA0F63AD2}" type="presOf" srcId="{6B61EDF2-0398-4D60-B9B0-A83E660F75A2}" destId="{E6875B81-DCBA-4FEA-AED5-3CC4BD40428C}" srcOrd="0" destOrd="0" presId="urn:microsoft.com/office/officeart/2005/8/layout/bProcess2"/>
    <dgm:cxn modelId="{C77E9E55-1768-41CD-A13B-C7111768B17F}" type="presOf" srcId="{F48695DC-5185-4E54-A990-1331DB1C4872}" destId="{7FEE97A0-8712-4477-AD0E-9DC525A9B35B}" srcOrd="0" destOrd="0" presId="urn:microsoft.com/office/officeart/2005/8/layout/bProcess2"/>
    <dgm:cxn modelId="{5C133093-E33E-4F93-819D-DB8E534EA037}" srcId="{BBEDABFD-816C-4284-8C81-6C7DE933576D}" destId="{13CB2985-8949-4060-80B1-D4D8E9C3D0B7}" srcOrd="0" destOrd="0" parTransId="{49E22EC2-0FBA-4A36-864E-4673490ABC2D}" sibTransId="{34509D9D-7EEE-4FD8-BCC5-E4DF3D987D08}"/>
    <dgm:cxn modelId="{8EA8F8A6-1A55-4C0A-9CFC-D0897D4D505D}" srcId="{BBEDABFD-816C-4284-8C81-6C7DE933576D}" destId="{8BC41DE7-E10B-46B3-8FDD-931F8790DD8C}" srcOrd="1" destOrd="0" parTransId="{B90FFC4C-4599-40C5-ABA1-661131E9A848}" sibTransId="{B50DAABF-FE5C-4394-9DFC-63A692D36C03}"/>
    <dgm:cxn modelId="{6EA548A8-9A8B-4902-9226-6302158CA056}" srcId="{BBEDABFD-816C-4284-8C81-6C7DE933576D}" destId="{30022CEA-1B1F-49F4-A0D6-C591D019EB15}" srcOrd="5" destOrd="0" parTransId="{33855BF4-E14D-4264-9485-E9A7FE0A9F0B}" sibTransId="{82FC890D-C274-43D1-8997-56B96528BBCF}"/>
    <dgm:cxn modelId="{598F03D1-CDF8-46C7-AAD2-996AE9E16555}" srcId="{BBEDABFD-816C-4284-8C81-6C7DE933576D}" destId="{FF479B8F-B1E6-43EC-832C-7D6C542B50DC}" srcOrd="6" destOrd="0" parTransId="{D7D9317F-11C0-4500-8E98-92FC087CC268}" sibTransId="{E0A501D4-14C0-49B7-B44D-BEDA3FBB24C8}"/>
    <dgm:cxn modelId="{E76A07D4-9502-4480-8A8F-3DB82D839118}" type="presOf" srcId="{34509D9D-7EEE-4FD8-BCC5-E4DF3D987D08}" destId="{14ED5B05-AAE2-4A4C-B88F-94AB4F948199}" srcOrd="0" destOrd="0" presId="urn:microsoft.com/office/officeart/2005/8/layout/bProcess2"/>
    <dgm:cxn modelId="{ECFCE8DD-A9E4-45A6-B729-7CF0A051E1A8}" type="presOf" srcId="{B50DAABF-FE5C-4394-9DFC-63A692D36C03}" destId="{95222316-B77E-4A2F-B764-99DA526C401A}" srcOrd="0" destOrd="0" presId="urn:microsoft.com/office/officeart/2005/8/layout/bProcess2"/>
    <dgm:cxn modelId="{E960D0DF-8599-4179-9B19-CFB8EA356152}" srcId="{BBEDABFD-816C-4284-8C81-6C7DE933576D}" destId="{401D25D2-94BC-4D96-BCA6-7333B24267E8}" srcOrd="7" destOrd="0" parTransId="{9D7A13A6-9475-4FBC-A086-01F4D7A75030}" sibTransId="{299A233D-C319-498F-B73E-3AF29B03EC12}"/>
    <dgm:cxn modelId="{77E9A6EF-4DCD-4597-BBAF-571EFA42C1BD}" type="presOf" srcId="{0C49C46D-FF22-449D-8109-1365E050AE65}" destId="{6B9E2355-4674-491F-B7C0-F1DDE4CB1707}" srcOrd="0" destOrd="0" presId="urn:microsoft.com/office/officeart/2005/8/layout/bProcess2"/>
    <dgm:cxn modelId="{C5285AF6-3D92-4782-9E0F-4B53C80E385A}" srcId="{BBEDABFD-816C-4284-8C81-6C7DE933576D}" destId="{59F229D4-3E5A-4DC8-BD45-7D63ED59D868}" srcOrd="3" destOrd="0" parTransId="{CB611F8A-2257-4AF8-AE49-2DD99F16B3DE}" sibTransId="{A99AE04B-C17E-477D-91E1-15F59149823B}"/>
    <dgm:cxn modelId="{10F50FFC-CDE2-4382-962F-AAB7D7F36E32}" srcId="{BBEDABFD-816C-4284-8C81-6C7DE933576D}" destId="{F48695DC-5185-4E54-A990-1331DB1C4872}" srcOrd="4" destOrd="0" parTransId="{1067AEE7-7934-4B93-86AF-BFBBB9C37402}" sibTransId="{6B61EDF2-0398-4D60-B9B0-A83E660F75A2}"/>
    <dgm:cxn modelId="{CFC769FD-E244-4E72-91C5-D6315EAB3ABD}" type="presOf" srcId="{BBEDABFD-816C-4284-8C81-6C7DE933576D}" destId="{643FB12F-562E-4A14-A39A-DA8EA2DCE44E}" srcOrd="0" destOrd="0" presId="urn:microsoft.com/office/officeart/2005/8/layout/bProcess2"/>
    <dgm:cxn modelId="{557E3B0D-2DE5-4A99-A291-D72C9D809512}" type="presParOf" srcId="{643FB12F-562E-4A14-A39A-DA8EA2DCE44E}" destId="{31407C60-A3D0-4641-9287-DFF84B50E716}" srcOrd="0" destOrd="0" presId="urn:microsoft.com/office/officeart/2005/8/layout/bProcess2"/>
    <dgm:cxn modelId="{6AF6A2CA-9AEF-44CF-A064-AD878B206E9A}" type="presParOf" srcId="{643FB12F-562E-4A14-A39A-DA8EA2DCE44E}" destId="{14ED5B05-AAE2-4A4C-B88F-94AB4F948199}" srcOrd="1" destOrd="0" presId="urn:microsoft.com/office/officeart/2005/8/layout/bProcess2"/>
    <dgm:cxn modelId="{F46AB2C0-02C8-44E0-9D2E-B33DA9D105B6}" type="presParOf" srcId="{643FB12F-562E-4A14-A39A-DA8EA2DCE44E}" destId="{0800BC6B-4899-484F-8EA2-E6E00E618497}" srcOrd="2" destOrd="0" presId="urn:microsoft.com/office/officeart/2005/8/layout/bProcess2"/>
    <dgm:cxn modelId="{386AEE78-6BD0-41E8-B461-9D2AB9178B78}" type="presParOf" srcId="{0800BC6B-4899-484F-8EA2-E6E00E618497}" destId="{CA936E0E-503A-45CC-AC97-BD34056FFBFF}" srcOrd="0" destOrd="0" presId="urn:microsoft.com/office/officeart/2005/8/layout/bProcess2"/>
    <dgm:cxn modelId="{01EF3B42-90EF-4788-AFFF-3BC3671EC221}" type="presParOf" srcId="{0800BC6B-4899-484F-8EA2-E6E00E618497}" destId="{AED53D56-2F49-4428-91D0-D7AF46154189}" srcOrd="1" destOrd="0" presId="urn:microsoft.com/office/officeart/2005/8/layout/bProcess2"/>
    <dgm:cxn modelId="{C79D9FB2-EE55-493D-B231-FB75B31A01CB}" type="presParOf" srcId="{643FB12F-562E-4A14-A39A-DA8EA2DCE44E}" destId="{95222316-B77E-4A2F-B764-99DA526C401A}" srcOrd="3" destOrd="0" presId="urn:microsoft.com/office/officeart/2005/8/layout/bProcess2"/>
    <dgm:cxn modelId="{B7AEEF0E-6834-4295-8A59-510D180D44FA}" type="presParOf" srcId="{643FB12F-562E-4A14-A39A-DA8EA2DCE44E}" destId="{F01BDBCD-42EF-4679-83D9-B3D3563FAC5B}" srcOrd="4" destOrd="0" presId="urn:microsoft.com/office/officeart/2005/8/layout/bProcess2"/>
    <dgm:cxn modelId="{8CACAAA7-8EBC-4C0F-8221-23CE4518E005}" type="presParOf" srcId="{F01BDBCD-42EF-4679-83D9-B3D3563FAC5B}" destId="{252A201C-FEF6-4F78-9342-8C9B5999A9E5}" srcOrd="0" destOrd="0" presId="urn:microsoft.com/office/officeart/2005/8/layout/bProcess2"/>
    <dgm:cxn modelId="{8A0E513B-9B49-4D31-AD05-F6E43F6B338B}" type="presParOf" srcId="{F01BDBCD-42EF-4679-83D9-B3D3563FAC5B}" destId="{A93AD9EE-2B78-4429-8838-7AF20B5CC47E}" srcOrd="1" destOrd="0" presId="urn:microsoft.com/office/officeart/2005/8/layout/bProcess2"/>
    <dgm:cxn modelId="{7F9A6FFD-C171-473F-ABDE-141958D121EB}" type="presParOf" srcId="{643FB12F-562E-4A14-A39A-DA8EA2DCE44E}" destId="{6B9E2355-4674-491F-B7C0-F1DDE4CB1707}" srcOrd="5" destOrd="0" presId="urn:microsoft.com/office/officeart/2005/8/layout/bProcess2"/>
    <dgm:cxn modelId="{36BE23CA-138E-4920-A0F2-F3A9448AB4F6}" type="presParOf" srcId="{643FB12F-562E-4A14-A39A-DA8EA2DCE44E}" destId="{3FB029D3-F667-44BA-A2D3-ED212E8160C1}" srcOrd="6" destOrd="0" presId="urn:microsoft.com/office/officeart/2005/8/layout/bProcess2"/>
    <dgm:cxn modelId="{684E7B84-EDC0-4ECC-B724-0D5D71735D3A}" type="presParOf" srcId="{3FB029D3-F667-44BA-A2D3-ED212E8160C1}" destId="{7940D6EE-6016-456A-8B75-82F519076B16}" srcOrd="0" destOrd="0" presId="urn:microsoft.com/office/officeart/2005/8/layout/bProcess2"/>
    <dgm:cxn modelId="{2AEA7626-ABF7-49C8-B7C2-9AB733E74B93}" type="presParOf" srcId="{3FB029D3-F667-44BA-A2D3-ED212E8160C1}" destId="{17E346CA-E19C-43F2-BFF0-24B688AB3E07}" srcOrd="1" destOrd="0" presId="urn:microsoft.com/office/officeart/2005/8/layout/bProcess2"/>
    <dgm:cxn modelId="{644001F7-3FA5-4600-AD7E-64CB19ABAACE}" type="presParOf" srcId="{643FB12F-562E-4A14-A39A-DA8EA2DCE44E}" destId="{D442DC6D-E64B-4056-874A-8E8E90FEB433}" srcOrd="7" destOrd="0" presId="urn:microsoft.com/office/officeart/2005/8/layout/bProcess2"/>
    <dgm:cxn modelId="{EFD8E287-8375-474C-A3A3-22CD0CAB8646}" type="presParOf" srcId="{643FB12F-562E-4A14-A39A-DA8EA2DCE44E}" destId="{F0AD6D70-0C97-4172-9D13-5275FFA9507E}" srcOrd="8" destOrd="0" presId="urn:microsoft.com/office/officeart/2005/8/layout/bProcess2"/>
    <dgm:cxn modelId="{F319C321-7793-4035-AF3E-C0A2358BA4C1}" type="presParOf" srcId="{F0AD6D70-0C97-4172-9D13-5275FFA9507E}" destId="{0DDC9DF4-4796-4A7D-BA0A-B7422BBFAD69}" srcOrd="0" destOrd="0" presId="urn:microsoft.com/office/officeart/2005/8/layout/bProcess2"/>
    <dgm:cxn modelId="{D923EF08-1CCE-4C6B-814A-3B5C882F522C}" type="presParOf" srcId="{F0AD6D70-0C97-4172-9D13-5275FFA9507E}" destId="{7FEE97A0-8712-4477-AD0E-9DC525A9B35B}" srcOrd="1" destOrd="0" presId="urn:microsoft.com/office/officeart/2005/8/layout/bProcess2"/>
    <dgm:cxn modelId="{E6E88FE2-B94A-4267-8BCB-A8C8E2CF1032}" type="presParOf" srcId="{643FB12F-562E-4A14-A39A-DA8EA2DCE44E}" destId="{E6875B81-DCBA-4FEA-AED5-3CC4BD40428C}" srcOrd="9" destOrd="0" presId="urn:microsoft.com/office/officeart/2005/8/layout/bProcess2"/>
    <dgm:cxn modelId="{3470DFD4-F078-4AF0-B442-322F8DD276F0}" type="presParOf" srcId="{643FB12F-562E-4A14-A39A-DA8EA2DCE44E}" destId="{1F3CD6C6-9348-4A43-B005-E86E78249DAF}" srcOrd="10" destOrd="0" presId="urn:microsoft.com/office/officeart/2005/8/layout/bProcess2"/>
    <dgm:cxn modelId="{119DB6C6-84F6-483D-A82E-2544619240EA}" type="presParOf" srcId="{1F3CD6C6-9348-4A43-B005-E86E78249DAF}" destId="{FE0F6BC8-9288-4963-9BFB-A220122ED4A5}" srcOrd="0" destOrd="0" presId="urn:microsoft.com/office/officeart/2005/8/layout/bProcess2"/>
    <dgm:cxn modelId="{EC232302-EC93-44A4-B233-D89E74BE43F4}" type="presParOf" srcId="{1F3CD6C6-9348-4A43-B005-E86E78249DAF}" destId="{6BF0FEF2-CF06-4AC3-9589-338190F202E8}" srcOrd="1" destOrd="0" presId="urn:microsoft.com/office/officeart/2005/8/layout/bProcess2"/>
    <dgm:cxn modelId="{4F78A088-C73B-410F-BEFB-368308317C37}" type="presParOf" srcId="{643FB12F-562E-4A14-A39A-DA8EA2DCE44E}" destId="{53A30BBD-32AA-4F6A-8F52-AA9B1B6D739C}" srcOrd="11" destOrd="0" presId="urn:microsoft.com/office/officeart/2005/8/layout/bProcess2"/>
    <dgm:cxn modelId="{36DD484A-5288-47D2-8238-9A28F342E851}" type="presParOf" srcId="{643FB12F-562E-4A14-A39A-DA8EA2DCE44E}" destId="{6480BC97-8F57-4F01-90A4-538F8D78FB88}" srcOrd="12" destOrd="0" presId="urn:microsoft.com/office/officeart/2005/8/layout/bProcess2"/>
    <dgm:cxn modelId="{F0F72C61-0850-40B7-915D-8011AD24448F}" type="presParOf" srcId="{6480BC97-8F57-4F01-90A4-538F8D78FB88}" destId="{EA93F0B4-4CC6-45CC-9F3F-66CC0AC9B0EA}" srcOrd="0" destOrd="0" presId="urn:microsoft.com/office/officeart/2005/8/layout/bProcess2"/>
    <dgm:cxn modelId="{DBFA3DC8-81FB-48A9-A1E6-A64871604BA5}" type="presParOf" srcId="{6480BC97-8F57-4F01-90A4-538F8D78FB88}" destId="{80BEC505-924F-4920-B1C3-24C1052C06B1}" srcOrd="1" destOrd="0" presId="urn:microsoft.com/office/officeart/2005/8/layout/bProcess2"/>
    <dgm:cxn modelId="{201AF28C-7673-469D-90ED-BCEE87E6E3B8}" type="presParOf" srcId="{643FB12F-562E-4A14-A39A-DA8EA2DCE44E}" destId="{98FB7070-509A-455B-B428-09B1B406E891}" srcOrd="13" destOrd="0" presId="urn:microsoft.com/office/officeart/2005/8/layout/bProcess2"/>
    <dgm:cxn modelId="{8D4F2ADD-F56F-448C-A380-C578DFCAB0D0}" type="presParOf" srcId="{643FB12F-562E-4A14-A39A-DA8EA2DCE44E}" destId="{04D1767C-D3CE-4CC4-8D45-C4DC2C21B78F}" srcOrd="14" destOrd="0" presId="urn:microsoft.com/office/officeart/2005/8/layout/bProcess2"/>
    <dgm:cxn modelId="{9B7169BA-7A73-4AFC-92C4-DB209700C0E1}" type="presParOf" srcId="{04D1767C-D3CE-4CC4-8D45-C4DC2C21B78F}" destId="{E7F2D501-CF0B-4F3C-8F35-A8E0FBC39F65}" srcOrd="0" destOrd="0" presId="urn:microsoft.com/office/officeart/2005/8/layout/bProcess2"/>
    <dgm:cxn modelId="{97AC1655-91AE-408A-897B-D63750FACE13}" type="presParOf" srcId="{04D1767C-D3CE-4CC4-8D45-C4DC2C21B78F}" destId="{CB045313-4117-467B-B89D-5495ED47CFE3}" srcOrd="1" destOrd="0" presId="urn:microsoft.com/office/officeart/2005/8/layout/bProcess2"/>
    <dgm:cxn modelId="{524D6350-174B-4584-B36C-9363A08328FF}" type="presParOf" srcId="{643FB12F-562E-4A14-A39A-DA8EA2DCE44E}" destId="{5E9691D3-8277-4E42-8AE6-77AE06C94A67}" srcOrd="15" destOrd="0" presId="urn:microsoft.com/office/officeart/2005/8/layout/bProcess2"/>
    <dgm:cxn modelId="{631A12F4-AE46-48FA-9CE5-FA4373727384}" type="presParOf" srcId="{643FB12F-562E-4A14-A39A-DA8EA2DCE44E}" destId="{2FECFC85-0B9E-4F89-AE87-DC36AE629839}" srcOrd="16" destOrd="0" presId="urn:microsoft.com/office/officeart/2005/8/layout/bProcess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1407C60-A3D0-4641-9287-DFF84B50E716}">
      <dsp:nvSpPr>
        <dsp:cNvPr id="0" name=""/>
        <dsp:cNvSpPr/>
      </dsp:nvSpPr>
      <dsp:spPr>
        <a:xfrm>
          <a:off x="781090" y="53850"/>
          <a:ext cx="1269129" cy="1365171"/>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latin typeface="Times New Roman" panose="02020603050405020304" pitchFamily="18" charset="0"/>
              <a:cs typeface="Times New Roman" panose="02020603050405020304" pitchFamily="18" charset="0"/>
            </a:rPr>
            <a:t>Travel Request is raised and shared by HR</a:t>
          </a:r>
        </a:p>
      </dsp:txBody>
      <dsp:txXfrm>
        <a:off x="966950" y="253775"/>
        <a:ext cx="897409" cy="965321"/>
      </dsp:txXfrm>
    </dsp:sp>
    <dsp:sp modelId="{14ED5B05-AAE2-4A4C-B88F-94AB4F948199}">
      <dsp:nvSpPr>
        <dsp:cNvPr id="0" name=""/>
        <dsp:cNvSpPr/>
      </dsp:nvSpPr>
      <dsp:spPr>
        <a:xfrm rot="10800000">
          <a:off x="1214490" y="1519603"/>
          <a:ext cx="402328" cy="213234"/>
        </a:xfrm>
        <a:prstGeom prst="triangle">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AED53D56-2F49-4428-91D0-D7AF46154189}">
      <dsp:nvSpPr>
        <dsp:cNvPr id="0" name=""/>
        <dsp:cNvSpPr/>
      </dsp:nvSpPr>
      <dsp:spPr>
        <a:xfrm>
          <a:off x="696088" y="1821350"/>
          <a:ext cx="1439133" cy="1352087"/>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latin typeface="Times New Roman" panose="02020603050405020304" pitchFamily="18" charset="0"/>
              <a:cs typeface="Times New Roman" panose="02020603050405020304" pitchFamily="18" charset="0"/>
            </a:rPr>
            <a:t>Logistics Plan and Approval  by Logistics Team</a:t>
          </a:r>
        </a:p>
      </dsp:txBody>
      <dsp:txXfrm>
        <a:off x="906844" y="2019359"/>
        <a:ext cx="1017621" cy="956069"/>
      </dsp:txXfrm>
    </dsp:sp>
    <dsp:sp modelId="{95222316-B77E-4A2F-B764-99DA526C401A}">
      <dsp:nvSpPr>
        <dsp:cNvPr id="0" name=""/>
        <dsp:cNvSpPr/>
      </dsp:nvSpPr>
      <dsp:spPr>
        <a:xfrm rot="10800000">
          <a:off x="1214490" y="3274019"/>
          <a:ext cx="402328" cy="213234"/>
        </a:xfrm>
        <a:prstGeom prst="triangle">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A93AD9EE-2B78-4429-8838-7AF20B5CC47E}">
      <dsp:nvSpPr>
        <dsp:cNvPr id="0" name=""/>
        <dsp:cNvSpPr/>
      </dsp:nvSpPr>
      <dsp:spPr>
        <a:xfrm>
          <a:off x="787627" y="3575766"/>
          <a:ext cx="1256054" cy="1222089"/>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latin typeface="Times New Roman" panose="02020603050405020304" pitchFamily="18" charset="0"/>
              <a:cs typeface="Times New Roman" panose="02020603050405020304" pitchFamily="18" charset="0"/>
            </a:rPr>
            <a:t>Logistics Team contacts vendor for pricing</a:t>
          </a:r>
        </a:p>
      </dsp:txBody>
      <dsp:txXfrm>
        <a:off x="971572" y="3754737"/>
        <a:ext cx="888164" cy="864147"/>
      </dsp:txXfrm>
    </dsp:sp>
    <dsp:sp modelId="{6B9E2355-4674-491F-B7C0-F1DDE4CB1707}">
      <dsp:nvSpPr>
        <dsp:cNvPr id="0" name=""/>
        <dsp:cNvSpPr/>
      </dsp:nvSpPr>
      <dsp:spPr>
        <a:xfrm rot="5285083">
          <a:off x="2196279" y="4047362"/>
          <a:ext cx="402328" cy="213234"/>
        </a:xfrm>
        <a:prstGeom prst="triangle">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17E346CA-E19C-43F2-BFF0-24B688AB3E07}">
      <dsp:nvSpPr>
        <dsp:cNvPr id="0" name=""/>
        <dsp:cNvSpPr/>
      </dsp:nvSpPr>
      <dsp:spPr>
        <a:xfrm>
          <a:off x="2739120" y="3441359"/>
          <a:ext cx="1372359" cy="1356495"/>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latin typeface="Times New Roman" panose="02020603050405020304" pitchFamily="18" charset="0"/>
              <a:cs typeface="Times New Roman" panose="02020603050405020304" pitchFamily="18" charset="0"/>
            </a:rPr>
            <a:t>Logistics Team raises PO</a:t>
          </a:r>
        </a:p>
      </dsp:txBody>
      <dsp:txXfrm>
        <a:off x="2940097" y="3640013"/>
        <a:ext cx="970405" cy="959187"/>
      </dsp:txXfrm>
    </dsp:sp>
    <dsp:sp modelId="{D442DC6D-E64B-4056-874A-8E8E90FEB433}">
      <dsp:nvSpPr>
        <dsp:cNvPr id="0" name=""/>
        <dsp:cNvSpPr/>
      </dsp:nvSpPr>
      <dsp:spPr>
        <a:xfrm>
          <a:off x="3224135" y="3127542"/>
          <a:ext cx="402328" cy="213234"/>
        </a:xfrm>
        <a:prstGeom prst="triangle">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7FEE97A0-8712-4477-AD0E-9DC525A9B35B}">
      <dsp:nvSpPr>
        <dsp:cNvPr id="0" name=""/>
        <dsp:cNvSpPr/>
      </dsp:nvSpPr>
      <dsp:spPr>
        <a:xfrm>
          <a:off x="2762099" y="1748741"/>
          <a:ext cx="1326401" cy="1290289"/>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latin typeface="Times New Roman" panose="02020603050405020304" pitchFamily="18" charset="0"/>
              <a:cs typeface="Times New Roman" panose="02020603050405020304" pitchFamily="18" charset="0"/>
            </a:rPr>
            <a:t>Logistics Team share signed PO with Vendor. </a:t>
          </a:r>
        </a:p>
      </dsp:txBody>
      <dsp:txXfrm>
        <a:off x="2956346" y="1937699"/>
        <a:ext cx="937907" cy="912373"/>
      </dsp:txXfrm>
    </dsp:sp>
    <dsp:sp modelId="{E6875B81-DCBA-4FEA-AED5-3CC4BD40428C}">
      <dsp:nvSpPr>
        <dsp:cNvPr id="0" name=""/>
        <dsp:cNvSpPr/>
      </dsp:nvSpPr>
      <dsp:spPr>
        <a:xfrm>
          <a:off x="3224135" y="1434924"/>
          <a:ext cx="402328" cy="213234"/>
        </a:xfrm>
        <a:prstGeom prst="triangle">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6BF0FEF2-CF06-4AC3-9589-338190F202E8}">
      <dsp:nvSpPr>
        <dsp:cNvPr id="0" name=""/>
        <dsp:cNvSpPr/>
      </dsp:nvSpPr>
      <dsp:spPr>
        <a:xfrm>
          <a:off x="2709977" y="2406"/>
          <a:ext cx="1430645" cy="1344005"/>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latin typeface="Times New Roman" panose="02020603050405020304" pitchFamily="18" charset="0"/>
              <a:cs typeface="Times New Roman" panose="02020603050405020304" pitchFamily="18" charset="0"/>
            </a:rPr>
            <a:t>Job/Service Delivered. Job Completion Certificate is jointly signed</a:t>
          </a:r>
        </a:p>
      </dsp:txBody>
      <dsp:txXfrm>
        <a:off x="2919490" y="199231"/>
        <a:ext cx="1011619" cy="950355"/>
      </dsp:txXfrm>
    </dsp:sp>
    <dsp:sp modelId="{53A30BBD-32AA-4F6A-8F52-AA9B1B6D739C}">
      <dsp:nvSpPr>
        <dsp:cNvPr id="0" name=""/>
        <dsp:cNvSpPr/>
      </dsp:nvSpPr>
      <dsp:spPr>
        <a:xfrm rot="5538603">
          <a:off x="4232926" y="608486"/>
          <a:ext cx="402328" cy="213234"/>
        </a:xfrm>
        <a:prstGeom prst="triangle">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80BEC505-924F-4920-B1C3-24C1052C06B1}">
      <dsp:nvSpPr>
        <dsp:cNvPr id="0" name=""/>
        <dsp:cNvSpPr/>
      </dsp:nvSpPr>
      <dsp:spPr>
        <a:xfrm>
          <a:off x="4715378" y="2406"/>
          <a:ext cx="1637032" cy="1514126"/>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latin typeface="Times New Roman" panose="02020603050405020304" pitchFamily="18" charset="0"/>
              <a:cs typeface="Times New Roman" panose="02020603050405020304" pitchFamily="18" charset="0"/>
            </a:rPr>
            <a:t>Vendor share invoice and already sent PO, invoice and JCC to logistics and accountpayable</a:t>
          </a:r>
        </a:p>
      </dsp:txBody>
      <dsp:txXfrm>
        <a:off x="4955116" y="224145"/>
        <a:ext cx="1157556" cy="1070648"/>
      </dsp:txXfrm>
    </dsp:sp>
    <dsp:sp modelId="{98FB7070-509A-455B-B428-09B1B406E891}">
      <dsp:nvSpPr>
        <dsp:cNvPr id="0" name=""/>
        <dsp:cNvSpPr/>
      </dsp:nvSpPr>
      <dsp:spPr>
        <a:xfrm rot="10800000">
          <a:off x="5332730" y="1617115"/>
          <a:ext cx="402328" cy="213234"/>
        </a:xfrm>
        <a:prstGeom prst="triangle">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CB045313-4117-467B-B89D-5495ED47CFE3}">
      <dsp:nvSpPr>
        <dsp:cNvPr id="0" name=""/>
        <dsp:cNvSpPr/>
      </dsp:nvSpPr>
      <dsp:spPr>
        <a:xfrm>
          <a:off x="4874960" y="1918862"/>
          <a:ext cx="1317868" cy="1283465"/>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latin typeface="Times New Roman" panose="02020603050405020304" pitchFamily="18" charset="0"/>
              <a:cs typeface="Times New Roman" panose="02020603050405020304" pitchFamily="18" charset="0"/>
            </a:rPr>
            <a:t>Finance confirms docs and effect payment based on agreed terms</a:t>
          </a:r>
        </a:p>
      </dsp:txBody>
      <dsp:txXfrm>
        <a:off x="5067957" y="2106821"/>
        <a:ext cx="931874" cy="907547"/>
      </dsp:txXfrm>
    </dsp:sp>
    <dsp:sp modelId="{5E9691D3-8277-4E42-8AE6-77AE06C94A67}">
      <dsp:nvSpPr>
        <dsp:cNvPr id="0" name=""/>
        <dsp:cNvSpPr/>
      </dsp:nvSpPr>
      <dsp:spPr>
        <a:xfrm rot="10800000">
          <a:off x="5332730" y="3302909"/>
          <a:ext cx="402328" cy="213234"/>
        </a:xfrm>
        <a:prstGeom prst="triangle">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2FECFC85-0B9E-4F89-AE87-DC36AE629839}">
      <dsp:nvSpPr>
        <dsp:cNvPr id="0" name=""/>
        <dsp:cNvSpPr/>
      </dsp:nvSpPr>
      <dsp:spPr>
        <a:xfrm>
          <a:off x="4929780" y="3604656"/>
          <a:ext cx="1208228" cy="1225287"/>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latin typeface="Times New Roman" panose="02020603050405020304" pitchFamily="18" charset="0"/>
              <a:cs typeface="Times New Roman" panose="02020603050405020304" pitchFamily="18" charset="0"/>
            </a:rPr>
            <a:t>Vendor payment confirmation  by Logistics team </a:t>
          </a:r>
        </a:p>
      </dsp:txBody>
      <dsp:txXfrm>
        <a:off x="5106721" y="3784095"/>
        <a:ext cx="854346" cy="866409"/>
      </dsp:txXfrm>
    </dsp:sp>
  </dsp:spTree>
</dsp:drawing>
</file>

<file path=xl/diagrams/layout1.xml><?xml version="1.0" encoding="utf-8"?>
<dgm:layoutDef xmlns:dgm="http://schemas.openxmlformats.org/drawingml/2006/diagram" xmlns:a="http://schemas.openxmlformats.org/drawingml/2006/main" uniqueId="urn:microsoft.com/office/officeart/2005/8/layout/bProcess2">
  <dgm:title val=""/>
  <dgm:desc val=""/>
  <dgm:catLst>
    <dgm:cat type="process" pri="24000"/>
  </dgm:catLst>
  <dgm:sampData>
    <dgm:dataModel>
      <dgm:ptLst>
        <dgm:pt modelId="0" type="doc"/>
        <dgm:pt modelId="1">
          <dgm:prSet phldr="1"/>
        </dgm:pt>
        <dgm:pt modelId="2">
          <dgm:prSet phldr="1"/>
        </dgm:pt>
        <dgm:pt modelId="3">
          <dgm:prSet phldr="1"/>
        </dgm:pt>
        <dgm:pt modelId="4">
          <dgm:prSet phldr="1"/>
        </dgm:pt>
        <dgm:pt modelId="5">
          <dgm:prSet phldr="1"/>
        </dgm:pt>
        <dgm:pt modelId="6">
          <dgm:prSet phldr="1"/>
        </dgm:pt>
        <dgm:pt modelId="7">
          <dgm:prSet phldr="1"/>
        </dgm:pt>
        <dgm:pt modelId="8">
          <dgm:prSet phldr="1"/>
        </dgm:pt>
        <dgm:pt modelId="9">
          <dgm:prSet phldr="1"/>
        </dgm:pt>
      </dgm:ptLst>
      <dgm:cxnLst>
        <dgm:cxn modelId="10" srcId="0" destId="1" srcOrd="0" destOrd="0"/>
        <dgm:cxn modelId="11" srcId="0" destId="2" srcOrd="1" destOrd="0"/>
        <dgm:cxn modelId="12" srcId="0" destId="3" srcOrd="2" destOrd="0"/>
        <dgm:cxn modelId="13" srcId="0" destId="4" srcOrd="3" destOrd="0"/>
        <dgm:cxn modelId="14" srcId="0" destId="5" srcOrd="4" destOrd="0"/>
        <dgm:cxn modelId="15" srcId="0" destId="6" srcOrd="5" destOrd="0"/>
        <dgm:cxn modelId="16" srcId="0" destId="7" srcOrd="6" destOrd="0"/>
        <dgm:cxn modelId="17" srcId="0" destId="8" srcOrd="7" destOrd="0"/>
        <dgm:cxn modelId="18" srcId="0" destId="9" srcOrd="8"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dgm:varLst>
    <dgm:choose name="Name0">
      <dgm:if name="Name1" func="var" arg="dir" op="equ" val="norm">
        <dgm:alg type="snake">
          <dgm:param type="grDir" val="tL"/>
          <dgm:param type="flowDir" val="col"/>
          <dgm:param type="contDir" val="revDir"/>
        </dgm:alg>
      </dgm:if>
      <dgm:else name="Name2">
        <dgm:alg type="snake">
          <dgm:param type="grDir" val="tR"/>
          <dgm:param type="flowDir" val="col"/>
          <dgm:param type="contDir" val="revDir"/>
        </dgm:alg>
      </dgm:else>
    </dgm:choose>
    <dgm:shape xmlns:r="http://schemas.openxmlformats.org/officeDocument/2006/relationships" r:blip="">
      <dgm:adjLst/>
    </dgm:shape>
    <dgm:presOf/>
    <dgm:constrLst>
      <dgm:constr type="w" for="ch" forName="firstNode" refType="w"/>
      <dgm:constr type="w" for="ch" forName="lastNode" refType="w" refFor="ch" refForName="firstNode" op="equ"/>
      <dgm:constr type="w" for="ch" forName="middleNode" refType="w" refFor="ch" refForName="firstNode" op="equ"/>
      <dgm:constr type="h" for="ch" ptType="sibTrans" refType="w" refFor="ch" refForName="middleNode" op="equ" fact="0.35"/>
      <dgm:constr type="sp" refType="w" refFor="ch" refForName="middleNode" fact="0.5"/>
      <dgm:constr type="connDist" for="des" ptType="sibTrans" op="equ"/>
      <dgm:constr type="primFontSz" for="ch" forName="firstNode" val="65"/>
      <dgm:constr type="primFontSz" for="ch" forName="lastNode" refType="primFontSz" refFor="ch" refForName="firstNode" op="equ"/>
      <dgm:constr type="primFontSz" for="des" forName="shape" val="65"/>
      <dgm:constr type="primFontSz" for="des" forName="shape" refType="primFontSz" refFor="ch" refForName="firstNode" op="lte"/>
      <dgm:constr type="primFontSz" for="des" forName="shape" refType="primFontSz" refFor="ch" refForName="lastNode" op="lte"/>
    </dgm:constrLst>
    <dgm:ruleLst/>
    <dgm:forEach name="Name3" axis="ch" ptType="node">
      <dgm:choose name="Name4">
        <dgm:if name="Name5" axis="self" ptType="node" func="pos" op="equ" val="1">
          <dgm:layoutNode name="firstNode">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if>
        <dgm:if name="Name6" axis="self" ptType="node" func="revPos" op="equ" val="1">
          <dgm:layoutNode name="lastNode">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if>
        <dgm:else name="Name7">
          <dgm:layoutNode name="middleNode">
            <dgm:alg type="composite"/>
            <dgm:shape xmlns:r="http://schemas.openxmlformats.org/officeDocument/2006/relationships" r:blip="">
              <dgm:adjLst/>
            </dgm:shape>
            <dgm:presOf/>
            <dgm:constrLst>
              <dgm:constr type="h" refType="w"/>
              <dgm:constr type="w" for="ch" forName="padding" refType="w"/>
              <dgm:constr type="h" for="ch" forName="padding" refType="h"/>
              <dgm:constr type="w" for="ch" forName="shape" refType="w" fact="0.667"/>
              <dgm:constr type="h" for="ch" forName="shape" refType="h" fact="0.667"/>
              <dgm:constr type="ctrX" for="ch" forName="shape" refType="w" fact="0.5"/>
              <dgm:constr type="ctrY" for="ch" forName="shape" refType="h" fact="0.5"/>
            </dgm:constrLst>
            <dgm:ruleLst/>
            <dgm:layoutNode name="padding">
              <dgm:alg type="sp"/>
              <dgm:shape xmlns:r="http://schemas.openxmlformats.org/officeDocument/2006/relationships" type="ellipse" r:blip="" hideGeom="1">
                <dgm:adjLst/>
              </dgm:shape>
              <dgm:presOf/>
              <dgm:constrLst/>
              <dgm:ruleLst/>
            </dgm:layoutNode>
            <dgm:layoutNode name="shape">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layoutNode>
        </dgm:else>
      </dgm:choose>
      <dgm:forEach name="Name8" axis="followSib" ptType="sibTrans" cnt="1">
        <dgm:layoutNode name="sibTrans">
          <dgm:choose name="Name9">
            <dgm:if name="Name10" func="var" arg="dir" op="equ" val="norm">
              <dgm:choose name="Name11">
                <dgm:if name="Name12" axis="self" ptType="sibTrans" func="pos" op="equ" val="1">
                  <dgm:alg type="conn">
                    <dgm:param type="begPts" val="auto"/>
                    <dgm:param type="endPts" val="auto"/>
                    <dgm:param type="srcNode" val="firstNode"/>
                    <dgm:param type="dstNode" val="shape"/>
                  </dgm:alg>
                </dgm:if>
                <dgm:if name="Name13" axis="self" ptType="sibTrans" func="revPos" op="equ" val="1">
                  <dgm:alg type="conn">
                    <dgm:param type="begPts" val="auto"/>
                    <dgm:param type="endPts" val="auto"/>
                    <dgm:param type="srcNode" val="shape"/>
                    <dgm:param type="dstNode" val="lastNode"/>
                  </dgm:alg>
                </dgm:if>
                <dgm:else name="Name14">
                  <dgm:alg type="conn">
                    <dgm:param type="begPts" val="auto"/>
                    <dgm:param type="endPts" val="auto"/>
                    <dgm:param type="srcNode" val="shape"/>
                    <dgm:param type="dstNode" val="shape"/>
                  </dgm:alg>
                </dgm:else>
              </dgm:choose>
            </dgm:if>
            <dgm:else name="Name15">
              <dgm:choose name="Name16">
                <dgm:if name="Name17" axis="self" ptType="sibTrans" func="pos" op="equ" val="1">
                  <dgm:alg type="conn">
                    <dgm:param type="begPts" val="auto"/>
                    <dgm:param type="endPts" val="auto"/>
                    <dgm:param type="srcNode" val="firstNode"/>
                    <dgm:param type="dstNode" val="shape"/>
                  </dgm:alg>
                </dgm:if>
                <dgm:if name="Name18" axis="self" ptType="sibTrans" func="revPos" op="equ" val="1">
                  <dgm:alg type="conn">
                    <dgm:param type="begPts" val="auto"/>
                    <dgm:param type="endPts" val="auto"/>
                    <dgm:param type="srcNode" val="shape"/>
                    <dgm:param type="dstNode" val="lastNode"/>
                  </dgm:alg>
                </dgm:if>
                <dgm:else name="Name19">
                  <dgm:alg type="conn">
                    <dgm:param type="begPts" val="auto"/>
                    <dgm:param type="endPts" val="auto"/>
                    <dgm:param type="srcNode" val="shape"/>
                    <dgm:param type="dstNode" val="shape"/>
                  </dgm:alg>
                </dgm:else>
              </dgm:choose>
            </dgm:else>
          </dgm:choose>
          <dgm:shape xmlns:r="http://schemas.openxmlformats.org/officeDocument/2006/relationships" rot="90" type="triangle" r:blip="">
            <dgm:adjLst/>
          </dgm:shape>
          <dgm:presOf axis="self"/>
          <dgm:constrLst>
            <dgm:constr type="w" refType="h"/>
            <dgm:constr type="connDist"/>
            <dgm:constr type="begPad" refType="connDist" fact="0.25"/>
            <dgm:constr type="endPad" refType="connDist" fact="0.22"/>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19050</xdr:colOff>
      <xdr:row>2</xdr:row>
      <xdr:rowOff>95250</xdr:rowOff>
    </xdr:from>
    <xdr:to>
      <xdr:col>12</xdr:col>
      <xdr:colOff>361950</xdr:colOff>
      <xdr:row>28</xdr:row>
      <xdr:rowOff>139700</xdr:rowOff>
    </xdr:to>
    <xdr:graphicFrame macro="">
      <xdr:nvGraphicFramePr>
        <xdr:cNvPr id="2" name="Diagram 1">
          <a:extLst>
            <a:ext uri="{FF2B5EF4-FFF2-40B4-BE49-F238E27FC236}">
              <a16:creationId xmlns:a16="http://schemas.microsoft.com/office/drawing/2014/main" id="{AA2DED26-8F7B-43BE-B062-196DDA016BB9}"/>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12F6D-4B3D-4027-84C7-6F2CBDCDDAE5}">
  <dimension ref="B3:M113"/>
  <sheetViews>
    <sheetView tabSelected="1" topLeftCell="A95" workbookViewId="0">
      <selection activeCell="J100" sqref="J100"/>
    </sheetView>
  </sheetViews>
  <sheetFormatPr defaultRowHeight="14.5" x14ac:dyDescent="0.35"/>
  <cols>
    <col min="2" max="2" width="7.453125" customWidth="1"/>
    <col min="3" max="3" width="9.90625" style="8" customWidth="1"/>
    <col min="4" max="4" width="12.54296875" customWidth="1"/>
    <col min="5" max="5" width="13.453125" customWidth="1"/>
    <col min="6" max="6" width="38.453125" customWidth="1"/>
    <col min="7" max="8" width="11.36328125" style="1" customWidth="1"/>
    <col min="9" max="10" width="17" customWidth="1"/>
    <col min="11" max="11" width="13.6328125" customWidth="1"/>
    <col min="12" max="12" width="13.90625" customWidth="1"/>
    <col min="13" max="13" width="10.7265625" customWidth="1"/>
  </cols>
  <sheetData>
    <row r="3" spans="2:13" x14ac:dyDescent="0.35">
      <c r="B3" s="29" t="s">
        <v>52</v>
      </c>
      <c r="C3" s="29"/>
      <c r="D3" s="29"/>
      <c r="E3" s="29"/>
      <c r="F3" s="29"/>
      <c r="G3" s="29"/>
      <c r="H3" s="29"/>
      <c r="I3" s="29"/>
      <c r="J3" s="29"/>
      <c r="K3" s="29"/>
      <c r="L3" s="29"/>
      <c r="M3" s="29"/>
    </row>
    <row r="4" spans="2:13" s="2" customFormat="1" ht="61.5" customHeight="1" x14ac:dyDescent="0.35">
      <c r="B4" s="3" t="s">
        <v>0</v>
      </c>
      <c r="C4" s="3" t="s">
        <v>48</v>
      </c>
      <c r="D4" s="3" t="s">
        <v>9</v>
      </c>
      <c r="E4" s="3" t="s">
        <v>1</v>
      </c>
      <c r="F4" s="3" t="s">
        <v>2</v>
      </c>
      <c r="G4" s="3" t="s">
        <v>3</v>
      </c>
      <c r="H4" s="3" t="s">
        <v>31</v>
      </c>
      <c r="I4" s="3" t="s">
        <v>4</v>
      </c>
      <c r="J4" s="3" t="s">
        <v>55</v>
      </c>
      <c r="K4" s="3" t="s">
        <v>5</v>
      </c>
      <c r="L4" s="3" t="s">
        <v>6</v>
      </c>
      <c r="M4" s="3" t="s">
        <v>7</v>
      </c>
    </row>
    <row r="5" spans="2:13" ht="43.5" x14ac:dyDescent="0.35">
      <c r="B5" s="4" t="s">
        <v>8</v>
      </c>
      <c r="C5" s="4" t="s">
        <v>50</v>
      </c>
      <c r="D5" s="4" t="s">
        <v>10</v>
      </c>
      <c r="E5" s="4"/>
      <c r="F5" s="7" t="s">
        <v>12</v>
      </c>
      <c r="G5" s="5" t="s">
        <v>11</v>
      </c>
      <c r="H5" s="5"/>
      <c r="I5" s="4" t="s">
        <v>19</v>
      </c>
      <c r="J5" s="10">
        <v>290000</v>
      </c>
      <c r="K5" s="4" t="s">
        <v>22</v>
      </c>
      <c r="L5" s="9" t="s">
        <v>21</v>
      </c>
      <c r="M5" s="9" t="s">
        <v>20</v>
      </c>
    </row>
    <row r="6" spans="2:13" ht="43.5" x14ac:dyDescent="0.35">
      <c r="B6" s="4" t="s">
        <v>13</v>
      </c>
      <c r="C6" s="4" t="s">
        <v>51</v>
      </c>
      <c r="D6" s="4" t="s">
        <v>10</v>
      </c>
      <c r="E6" s="4"/>
      <c r="F6" s="7" t="s">
        <v>24</v>
      </c>
      <c r="G6" s="5" t="s">
        <v>23</v>
      </c>
      <c r="H6" s="5"/>
      <c r="I6" s="4" t="s">
        <v>19</v>
      </c>
      <c r="J6" s="10"/>
      <c r="K6" s="4"/>
      <c r="L6" s="9"/>
      <c r="M6" s="9"/>
    </row>
    <row r="7" spans="2:13" x14ac:dyDescent="0.35">
      <c r="B7" s="4" t="s">
        <v>49</v>
      </c>
      <c r="C7" s="4" t="s">
        <v>10</v>
      </c>
      <c r="D7" s="4" t="s">
        <v>15</v>
      </c>
      <c r="E7" s="4" t="s">
        <v>15</v>
      </c>
      <c r="F7" s="7" t="s">
        <v>39</v>
      </c>
      <c r="G7" s="5" t="s">
        <v>23</v>
      </c>
      <c r="H7" s="6"/>
      <c r="I7" s="4" t="s">
        <v>19</v>
      </c>
      <c r="J7" s="10"/>
      <c r="K7" s="4"/>
      <c r="L7" s="9"/>
      <c r="M7" s="9"/>
    </row>
    <row r="8" spans="2:13" x14ac:dyDescent="0.35">
      <c r="B8" s="4" t="s">
        <v>49</v>
      </c>
      <c r="C8" s="4" t="s">
        <v>10</v>
      </c>
      <c r="D8" s="4" t="s">
        <v>15</v>
      </c>
      <c r="E8" s="4" t="s">
        <v>15</v>
      </c>
      <c r="F8" s="7" t="s">
        <v>41</v>
      </c>
      <c r="G8" s="6">
        <v>45697</v>
      </c>
      <c r="H8" s="5"/>
      <c r="I8" s="4" t="s">
        <v>19</v>
      </c>
      <c r="J8" s="10"/>
      <c r="K8" s="4"/>
      <c r="L8" s="9"/>
      <c r="M8" s="9"/>
    </row>
    <row r="9" spans="2:13" x14ac:dyDescent="0.35">
      <c r="B9" s="4" t="s">
        <v>49</v>
      </c>
      <c r="C9" s="4" t="s">
        <v>10</v>
      </c>
      <c r="D9" s="4" t="s">
        <v>15</v>
      </c>
      <c r="E9" s="4" t="s">
        <v>15</v>
      </c>
      <c r="F9" s="7" t="s">
        <v>36</v>
      </c>
      <c r="G9" s="6">
        <v>45697</v>
      </c>
      <c r="H9" s="5"/>
      <c r="I9" s="4" t="s">
        <v>19</v>
      </c>
      <c r="J9" s="10"/>
      <c r="K9" s="4"/>
      <c r="L9" s="9"/>
      <c r="M9" s="9"/>
    </row>
    <row r="10" spans="2:13" ht="12" customHeight="1" x14ac:dyDescent="0.35">
      <c r="B10" s="30" t="s">
        <v>49</v>
      </c>
      <c r="C10" s="30" t="s">
        <v>10</v>
      </c>
      <c r="D10" s="30" t="s">
        <v>15</v>
      </c>
      <c r="E10" s="30" t="s">
        <v>15</v>
      </c>
      <c r="F10" s="7" t="s">
        <v>17</v>
      </c>
      <c r="G10" s="31">
        <v>374443</v>
      </c>
      <c r="H10" s="6"/>
      <c r="I10" s="4" t="s">
        <v>18</v>
      </c>
      <c r="J10" s="10"/>
      <c r="K10" s="4"/>
      <c r="L10" s="9"/>
      <c r="M10" s="9"/>
    </row>
    <row r="11" spans="2:13" ht="18" customHeight="1" x14ac:dyDescent="0.35">
      <c r="B11" s="30"/>
      <c r="C11" s="30"/>
      <c r="D11" s="30"/>
      <c r="E11" s="30"/>
      <c r="F11" s="7" t="s">
        <v>25</v>
      </c>
      <c r="G11" s="31"/>
      <c r="H11" s="6"/>
      <c r="I11" s="4" t="s">
        <v>18</v>
      </c>
      <c r="J11" s="10"/>
      <c r="K11" s="4"/>
      <c r="L11" s="9"/>
      <c r="M11" s="9"/>
    </row>
    <row r="12" spans="2:13" x14ac:dyDescent="0.35">
      <c r="B12" s="30"/>
      <c r="C12" s="30"/>
      <c r="D12" s="30"/>
      <c r="E12" s="30"/>
      <c r="F12" s="7" t="s">
        <v>16</v>
      </c>
      <c r="G12" s="31"/>
      <c r="H12" s="6"/>
      <c r="I12" s="4" t="s">
        <v>18</v>
      </c>
      <c r="J12" s="10"/>
      <c r="K12" s="4"/>
      <c r="L12" s="9"/>
      <c r="M12" s="9"/>
    </row>
    <row r="13" spans="2:13" x14ac:dyDescent="0.35">
      <c r="B13" s="4" t="s">
        <v>8</v>
      </c>
      <c r="C13" s="4" t="s">
        <v>10</v>
      </c>
      <c r="D13" s="4" t="s">
        <v>10</v>
      </c>
      <c r="E13" s="6" t="s">
        <v>54</v>
      </c>
      <c r="F13" s="7" t="s">
        <v>47</v>
      </c>
      <c r="G13" s="6">
        <v>45756</v>
      </c>
      <c r="H13" s="6"/>
      <c r="I13" s="4" t="s">
        <v>19</v>
      </c>
      <c r="J13" s="10">
        <v>120000</v>
      </c>
      <c r="K13" s="27">
        <v>46000</v>
      </c>
      <c r="L13" s="27">
        <v>45971</v>
      </c>
      <c r="M13" s="9" t="s">
        <v>87</v>
      </c>
    </row>
    <row r="14" spans="2:13" ht="29" customHeight="1" x14ac:dyDescent="0.35">
      <c r="B14" s="4" t="s">
        <v>14</v>
      </c>
      <c r="C14" s="4"/>
      <c r="D14" s="4" t="s">
        <v>10</v>
      </c>
      <c r="E14" s="4"/>
      <c r="F14" s="7" t="s">
        <v>45</v>
      </c>
      <c r="G14" s="6">
        <v>45756</v>
      </c>
      <c r="H14" s="6"/>
      <c r="I14" s="4" t="s">
        <v>53</v>
      </c>
      <c r="J14" s="10"/>
      <c r="K14" s="4"/>
      <c r="L14" s="4"/>
      <c r="M14" s="9"/>
    </row>
    <row r="15" spans="2:13" ht="29" x14ac:dyDescent="0.35">
      <c r="B15" s="4" t="s">
        <v>49</v>
      </c>
      <c r="C15" s="4" t="s">
        <v>10</v>
      </c>
      <c r="D15" s="4" t="s">
        <v>10</v>
      </c>
      <c r="E15" s="4"/>
      <c r="F15" s="7" t="s">
        <v>27</v>
      </c>
      <c r="G15" s="6">
        <v>45786</v>
      </c>
      <c r="H15" s="6"/>
      <c r="I15" s="4" t="s">
        <v>18</v>
      </c>
      <c r="J15" s="10"/>
      <c r="K15" s="4"/>
      <c r="L15" s="4"/>
      <c r="M15" s="9"/>
    </row>
    <row r="16" spans="2:13" ht="43.5" x14ac:dyDescent="0.35">
      <c r="B16" s="4" t="s">
        <v>8</v>
      </c>
      <c r="C16" s="4" t="s">
        <v>50</v>
      </c>
      <c r="D16" s="4"/>
      <c r="E16" s="6" t="s">
        <v>54</v>
      </c>
      <c r="F16" s="49" t="s">
        <v>28</v>
      </c>
      <c r="G16" s="6">
        <v>45786</v>
      </c>
      <c r="H16" s="6"/>
      <c r="I16" s="4" t="s">
        <v>19</v>
      </c>
      <c r="J16" s="10">
        <v>150000</v>
      </c>
      <c r="K16" s="27">
        <v>46000</v>
      </c>
      <c r="L16" s="27">
        <v>45971</v>
      </c>
      <c r="M16" s="9" t="s">
        <v>87</v>
      </c>
    </row>
    <row r="17" spans="2:13" ht="29" x14ac:dyDescent="0.35">
      <c r="B17" s="4" t="s">
        <v>8</v>
      </c>
      <c r="C17" s="4" t="s">
        <v>50</v>
      </c>
      <c r="D17" s="4"/>
      <c r="E17" s="6" t="s">
        <v>54</v>
      </c>
      <c r="F17" s="50" t="s">
        <v>56</v>
      </c>
      <c r="G17" s="6">
        <v>45817</v>
      </c>
      <c r="H17" s="6"/>
      <c r="I17" s="4" t="s">
        <v>19</v>
      </c>
      <c r="J17" s="10">
        <v>400000</v>
      </c>
      <c r="K17" s="27">
        <v>46000</v>
      </c>
      <c r="L17" s="27">
        <v>45971</v>
      </c>
      <c r="M17" s="9" t="s">
        <v>87</v>
      </c>
    </row>
    <row r="18" spans="2:13" ht="29" x14ac:dyDescent="0.35">
      <c r="B18" s="4" t="s">
        <v>8</v>
      </c>
      <c r="C18" s="4" t="s">
        <v>50</v>
      </c>
      <c r="D18" s="4" t="s">
        <v>10</v>
      </c>
      <c r="E18" s="6" t="s">
        <v>54</v>
      </c>
      <c r="F18" s="7" t="s">
        <v>57</v>
      </c>
      <c r="G18" s="6"/>
      <c r="H18" s="6">
        <v>45817</v>
      </c>
      <c r="I18" s="4" t="s">
        <v>19</v>
      </c>
      <c r="J18" s="10">
        <v>140000</v>
      </c>
      <c r="K18" s="27">
        <v>46000</v>
      </c>
      <c r="L18" s="27">
        <v>45971</v>
      </c>
      <c r="M18" s="9" t="s">
        <v>87</v>
      </c>
    </row>
    <row r="19" spans="2:13" ht="29" x14ac:dyDescent="0.35">
      <c r="B19" s="4" t="s">
        <v>8</v>
      </c>
      <c r="C19" s="4" t="s">
        <v>50</v>
      </c>
      <c r="D19" s="4" t="s">
        <v>10</v>
      </c>
      <c r="E19" s="6" t="s">
        <v>80</v>
      </c>
      <c r="F19" s="7" t="s">
        <v>29</v>
      </c>
      <c r="G19" s="6" t="s">
        <v>26</v>
      </c>
      <c r="H19" s="6"/>
      <c r="I19" s="4" t="s">
        <v>19</v>
      </c>
      <c r="J19" s="10">
        <v>120000</v>
      </c>
      <c r="K19" s="4" t="s">
        <v>85</v>
      </c>
      <c r="L19" s="4" t="s">
        <v>86</v>
      </c>
      <c r="M19" s="9" t="s">
        <v>87</v>
      </c>
    </row>
    <row r="20" spans="2:13" ht="29" x14ac:dyDescent="0.35">
      <c r="B20" s="4" t="s">
        <v>49</v>
      </c>
      <c r="C20" s="4" t="s">
        <v>50</v>
      </c>
      <c r="D20" s="4" t="s">
        <v>15</v>
      </c>
      <c r="E20" s="6" t="s">
        <v>15</v>
      </c>
      <c r="F20" s="7" t="s">
        <v>35</v>
      </c>
      <c r="G20" s="26">
        <v>45909</v>
      </c>
      <c r="H20" s="47"/>
      <c r="I20" s="4" t="s">
        <v>19</v>
      </c>
      <c r="J20" s="10"/>
      <c r="K20" s="4" t="s">
        <v>85</v>
      </c>
      <c r="L20" s="4" t="s">
        <v>86</v>
      </c>
      <c r="M20" s="9" t="s">
        <v>87</v>
      </c>
    </row>
    <row r="21" spans="2:13" ht="29" x14ac:dyDescent="0.35">
      <c r="B21" s="4" t="s">
        <v>8</v>
      </c>
      <c r="C21" s="4" t="s">
        <v>50</v>
      </c>
      <c r="D21" s="4" t="s">
        <v>10</v>
      </c>
      <c r="E21" s="6" t="s">
        <v>80</v>
      </c>
      <c r="F21" s="7" t="s">
        <v>65</v>
      </c>
      <c r="G21" s="6" t="s">
        <v>26</v>
      </c>
      <c r="H21" s="6"/>
      <c r="I21" s="4" t="s">
        <v>19</v>
      </c>
      <c r="J21" s="10">
        <v>120000</v>
      </c>
      <c r="K21" s="4" t="s">
        <v>85</v>
      </c>
      <c r="L21" s="4" t="s">
        <v>86</v>
      </c>
      <c r="M21" s="9" t="s">
        <v>87</v>
      </c>
    </row>
    <row r="22" spans="2:13" ht="58" x14ac:dyDescent="0.35">
      <c r="B22" s="4" t="s">
        <v>8</v>
      </c>
      <c r="C22" s="4" t="s">
        <v>50</v>
      </c>
      <c r="D22" s="4" t="s">
        <v>10</v>
      </c>
      <c r="E22" s="6" t="s">
        <v>80</v>
      </c>
      <c r="F22" s="7" t="s">
        <v>83</v>
      </c>
      <c r="G22" s="6" t="s">
        <v>66</v>
      </c>
      <c r="H22" s="6" t="s">
        <v>66</v>
      </c>
      <c r="I22" s="4" t="s">
        <v>19</v>
      </c>
      <c r="J22" s="10">
        <v>250000</v>
      </c>
      <c r="K22" s="4" t="s">
        <v>85</v>
      </c>
      <c r="L22" s="4" t="s">
        <v>86</v>
      </c>
      <c r="M22" s="9" t="s">
        <v>87</v>
      </c>
    </row>
    <row r="23" spans="2:13" ht="43.5" x14ac:dyDescent="0.35">
      <c r="B23" s="4" t="s">
        <v>8</v>
      </c>
      <c r="C23" s="4"/>
      <c r="D23" s="4"/>
      <c r="E23" s="6" t="s">
        <v>80</v>
      </c>
      <c r="F23" s="7" t="s">
        <v>81</v>
      </c>
      <c r="G23" s="6" t="s">
        <v>66</v>
      </c>
      <c r="H23" s="6" t="s">
        <v>66</v>
      </c>
      <c r="I23" s="4" t="s">
        <v>19</v>
      </c>
      <c r="J23" s="10">
        <v>360000</v>
      </c>
      <c r="K23" s="4" t="s">
        <v>85</v>
      </c>
      <c r="L23" s="4" t="s">
        <v>86</v>
      </c>
      <c r="M23" s="9" t="s">
        <v>87</v>
      </c>
    </row>
    <row r="24" spans="2:13" ht="43.5" x14ac:dyDescent="0.35">
      <c r="B24" s="4" t="s">
        <v>8</v>
      </c>
      <c r="C24" s="4"/>
      <c r="D24" s="4"/>
      <c r="E24" s="6" t="s">
        <v>80</v>
      </c>
      <c r="F24" s="7" t="s">
        <v>84</v>
      </c>
      <c r="G24" s="6" t="s">
        <v>66</v>
      </c>
      <c r="H24" s="6" t="s">
        <v>66</v>
      </c>
      <c r="I24" s="4" t="s">
        <v>19</v>
      </c>
      <c r="J24" s="10">
        <v>120000</v>
      </c>
      <c r="K24" s="4" t="s">
        <v>85</v>
      </c>
      <c r="L24" s="4" t="s">
        <v>86</v>
      </c>
      <c r="M24" s="9" t="s">
        <v>87</v>
      </c>
    </row>
    <row r="25" spans="2:13" ht="72.5" x14ac:dyDescent="0.35">
      <c r="B25" s="4" t="s">
        <v>8</v>
      </c>
      <c r="C25" s="4" t="s">
        <v>51</v>
      </c>
      <c r="D25" s="4"/>
      <c r="E25" s="6" t="s">
        <v>80</v>
      </c>
      <c r="F25" s="7" t="s">
        <v>82</v>
      </c>
      <c r="G25" s="6" t="s">
        <v>66</v>
      </c>
      <c r="H25" s="6" t="s">
        <v>66</v>
      </c>
      <c r="I25" s="4" t="s">
        <v>19</v>
      </c>
      <c r="J25" s="10">
        <v>135000</v>
      </c>
      <c r="K25" s="4" t="s">
        <v>85</v>
      </c>
      <c r="L25" s="4" t="s">
        <v>86</v>
      </c>
      <c r="M25" s="9" t="s">
        <v>87</v>
      </c>
    </row>
    <row r="26" spans="2:13" ht="43.5" x14ac:dyDescent="0.35">
      <c r="B26" s="4" t="s">
        <v>8</v>
      </c>
      <c r="C26" s="4" t="s">
        <v>50</v>
      </c>
      <c r="D26" s="4" t="s">
        <v>10</v>
      </c>
      <c r="E26" s="6" t="s">
        <v>80</v>
      </c>
      <c r="F26" s="7" t="s">
        <v>67</v>
      </c>
      <c r="G26" s="6"/>
      <c r="H26" s="6" t="s">
        <v>68</v>
      </c>
      <c r="I26" s="4" t="s">
        <v>19</v>
      </c>
      <c r="J26" s="10">
        <v>120000</v>
      </c>
      <c r="K26" s="4" t="s">
        <v>85</v>
      </c>
      <c r="L26" s="4" t="s">
        <v>86</v>
      </c>
      <c r="M26" s="9" t="s">
        <v>87</v>
      </c>
    </row>
    <row r="27" spans="2:13" ht="43.5" x14ac:dyDescent="0.35">
      <c r="B27" s="4" t="s">
        <v>8</v>
      </c>
      <c r="C27" s="4" t="s">
        <v>50</v>
      </c>
      <c r="D27" s="4" t="s">
        <v>10</v>
      </c>
      <c r="E27" s="6" t="s">
        <v>173</v>
      </c>
      <c r="F27" s="7" t="s">
        <v>70</v>
      </c>
      <c r="G27" s="6" t="s">
        <v>71</v>
      </c>
      <c r="H27" s="6" t="s">
        <v>71</v>
      </c>
      <c r="I27" s="4" t="s">
        <v>19</v>
      </c>
      <c r="J27" s="10"/>
      <c r="K27" s="9"/>
      <c r="L27" s="9"/>
      <c r="M27" s="9"/>
    </row>
    <row r="28" spans="2:13" ht="29" x14ac:dyDescent="0.35">
      <c r="B28" s="4" t="s">
        <v>8</v>
      </c>
      <c r="C28" s="4" t="s">
        <v>50</v>
      </c>
      <c r="D28" s="4" t="s">
        <v>10</v>
      </c>
      <c r="E28" s="6" t="s">
        <v>173</v>
      </c>
      <c r="F28" s="7" t="s">
        <v>72</v>
      </c>
      <c r="G28" s="6" t="s">
        <v>69</v>
      </c>
      <c r="H28" s="47"/>
      <c r="I28" s="4" t="s">
        <v>19</v>
      </c>
      <c r="J28" s="10"/>
      <c r="K28" s="9"/>
      <c r="L28" s="9"/>
      <c r="M28" s="9"/>
    </row>
    <row r="29" spans="2:13" ht="72.5" x14ac:dyDescent="0.35">
      <c r="B29" s="4" t="s">
        <v>8</v>
      </c>
      <c r="C29" s="4" t="s">
        <v>50</v>
      </c>
      <c r="D29" s="4" t="s">
        <v>10</v>
      </c>
      <c r="E29" s="6" t="s">
        <v>173</v>
      </c>
      <c r="F29" s="7" t="s">
        <v>74</v>
      </c>
      <c r="G29" s="6"/>
      <c r="H29" s="6" t="s">
        <v>73</v>
      </c>
      <c r="I29" s="4" t="s">
        <v>90</v>
      </c>
      <c r="J29" s="10"/>
      <c r="K29" s="9"/>
      <c r="L29" s="9"/>
      <c r="M29" s="9"/>
    </row>
    <row r="30" spans="2:13" x14ac:dyDescent="0.35">
      <c r="B30" s="4" t="s">
        <v>8</v>
      </c>
      <c r="C30" s="4" t="s">
        <v>50</v>
      </c>
      <c r="D30" s="4" t="s">
        <v>10</v>
      </c>
      <c r="E30" s="6" t="s">
        <v>173</v>
      </c>
      <c r="F30" s="7" t="s">
        <v>75</v>
      </c>
      <c r="G30" s="26" t="s">
        <v>38</v>
      </c>
      <c r="H30" s="47"/>
      <c r="I30" s="4" t="s">
        <v>90</v>
      </c>
      <c r="J30" s="10"/>
      <c r="K30" s="9"/>
      <c r="L30" s="9"/>
      <c r="M30" s="9"/>
    </row>
    <row r="31" spans="2:13" ht="29" x14ac:dyDescent="0.35">
      <c r="B31" s="4" t="s">
        <v>8</v>
      </c>
      <c r="C31" s="4" t="s">
        <v>50</v>
      </c>
      <c r="D31" s="4" t="s">
        <v>10</v>
      </c>
      <c r="E31" s="6" t="s">
        <v>173</v>
      </c>
      <c r="F31" s="7" t="s">
        <v>40</v>
      </c>
      <c r="G31" s="5"/>
      <c r="H31" s="6" t="s">
        <v>38</v>
      </c>
      <c r="I31" s="4" t="s">
        <v>90</v>
      </c>
      <c r="J31" s="10"/>
      <c r="K31" s="9"/>
      <c r="L31" s="9"/>
      <c r="M31" s="9"/>
    </row>
    <row r="32" spans="2:13" ht="29" x14ac:dyDescent="0.35">
      <c r="B32" s="4" t="s">
        <v>8</v>
      </c>
      <c r="C32" s="4" t="s">
        <v>50</v>
      </c>
      <c r="D32" s="4" t="s">
        <v>10</v>
      </c>
      <c r="E32" s="6" t="s">
        <v>173</v>
      </c>
      <c r="F32" s="7" t="s">
        <v>42</v>
      </c>
      <c r="G32" s="5"/>
      <c r="H32" s="5" t="s">
        <v>38</v>
      </c>
      <c r="I32" s="4" t="s">
        <v>90</v>
      </c>
      <c r="J32" s="10"/>
      <c r="K32" s="9"/>
      <c r="L32" s="9"/>
      <c r="M32" s="9"/>
    </row>
    <row r="33" spans="2:13" ht="29" x14ac:dyDescent="0.35">
      <c r="B33" s="4" t="s">
        <v>8</v>
      </c>
      <c r="C33" s="4" t="s">
        <v>50</v>
      </c>
      <c r="D33" s="4" t="s">
        <v>10</v>
      </c>
      <c r="E33" s="6" t="s">
        <v>173</v>
      </c>
      <c r="F33" s="7" t="s">
        <v>78</v>
      </c>
      <c r="G33" s="5"/>
      <c r="H33" s="6">
        <v>45667</v>
      </c>
      <c r="I33" s="4" t="s">
        <v>90</v>
      </c>
      <c r="J33" s="10"/>
      <c r="K33" s="9"/>
      <c r="L33" s="9"/>
      <c r="M33" s="9"/>
    </row>
    <row r="34" spans="2:13" x14ac:dyDescent="0.35">
      <c r="B34" s="4" t="s">
        <v>8</v>
      </c>
      <c r="C34" s="4" t="s">
        <v>50</v>
      </c>
      <c r="D34" s="4" t="s">
        <v>10</v>
      </c>
      <c r="E34" s="6" t="s">
        <v>173</v>
      </c>
      <c r="F34" s="7" t="s">
        <v>88</v>
      </c>
      <c r="G34" s="6">
        <v>45698</v>
      </c>
      <c r="H34" s="6"/>
      <c r="I34" s="4" t="s">
        <v>19</v>
      </c>
      <c r="J34" s="10"/>
      <c r="K34" s="9"/>
      <c r="L34" s="9"/>
      <c r="M34" s="9"/>
    </row>
    <row r="35" spans="2:13" x14ac:dyDescent="0.35">
      <c r="B35" s="4" t="s">
        <v>8</v>
      </c>
      <c r="C35" s="4" t="s">
        <v>50</v>
      </c>
      <c r="D35" s="4" t="s">
        <v>10</v>
      </c>
      <c r="E35" s="6" t="s">
        <v>173</v>
      </c>
      <c r="F35" s="7" t="s">
        <v>89</v>
      </c>
      <c r="G35" s="6">
        <v>45757</v>
      </c>
      <c r="H35" s="6"/>
      <c r="I35" s="4" t="s">
        <v>19</v>
      </c>
      <c r="J35" s="10"/>
      <c r="K35" s="9"/>
      <c r="L35" s="9"/>
      <c r="M35" s="9"/>
    </row>
    <row r="36" spans="2:13" x14ac:dyDescent="0.35">
      <c r="B36" s="4" t="s">
        <v>8</v>
      </c>
      <c r="C36" s="4" t="s">
        <v>51</v>
      </c>
      <c r="D36" s="4" t="s">
        <v>10</v>
      </c>
      <c r="E36" s="6" t="s">
        <v>173</v>
      </c>
      <c r="F36" s="7" t="s">
        <v>46</v>
      </c>
      <c r="G36" s="6"/>
      <c r="H36" s="6">
        <v>45698</v>
      </c>
      <c r="I36" s="4" t="s">
        <v>19</v>
      </c>
      <c r="J36" s="10"/>
      <c r="K36" s="9"/>
      <c r="L36" s="9"/>
      <c r="M36" s="9"/>
    </row>
    <row r="37" spans="2:13" ht="29" x14ac:dyDescent="0.35">
      <c r="B37" s="4" t="s">
        <v>8</v>
      </c>
      <c r="C37" s="4" t="s">
        <v>51</v>
      </c>
      <c r="D37" s="4" t="s">
        <v>10</v>
      </c>
      <c r="E37" s="6" t="s">
        <v>173</v>
      </c>
      <c r="F37" s="7" t="s">
        <v>37</v>
      </c>
      <c r="G37" s="6"/>
      <c r="H37" s="6">
        <v>45848</v>
      </c>
      <c r="I37" s="4" t="s">
        <v>19</v>
      </c>
      <c r="J37" s="10"/>
      <c r="K37" s="9"/>
      <c r="L37" s="9"/>
      <c r="M37" s="9"/>
    </row>
    <row r="38" spans="2:13" ht="29" x14ac:dyDescent="0.35">
      <c r="B38" s="4" t="s">
        <v>8</v>
      </c>
      <c r="C38" s="9" t="s">
        <v>50</v>
      </c>
      <c r="D38" s="4" t="s">
        <v>10</v>
      </c>
      <c r="E38" s="9" t="s">
        <v>172</v>
      </c>
      <c r="F38" s="7" t="s">
        <v>43</v>
      </c>
      <c r="G38" s="47"/>
      <c r="H38" s="47" t="s">
        <v>44</v>
      </c>
      <c r="I38" s="4" t="s">
        <v>19</v>
      </c>
      <c r="J38" s="10"/>
      <c r="K38" s="9"/>
      <c r="L38" s="9"/>
      <c r="M38" s="9"/>
    </row>
    <row r="39" spans="2:13" ht="58" x14ac:dyDescent="0.35">
      <c r="B39" s="4" t="s">
        <v>8</v>
      </c>
      <c r="C39" s="9" t="s">
        <v>50</v>
      </c>
      <c r="D39" s="4" t="s">
        <v>10</v>
      </c>
      <c r="E39" s="9" t="s">
        <v>172</v>
      </c>
      <c r="F39" s="49" t="s">
        <v>33</v>
      </c>
      <c r="G39" s="47"/>
      <c r="H39" s="47" t="s">
        <v>34</v>
      </c>
      <c r="I39" s="4" t="s">
        <v>19</v>
      </c>
      <c r="J39" s="10"/>
      <c r="K39" s="9"/>
      <c r="L39" s="9"/>
      <c r="M39" s="9"/>
    </row>
    <row r="40" spans="2:13" ht="29" x14ac:dyDescent="0.35">
      <c r="B40" s="4" t="s">
        <v>8</v>
      </c>
      <c r="C40" s="4" t="s">
        <v>50</v>
      </c>
      <c r="D40" s="4" t="s">
        <v>10</v>
      </c>
      <c r="E40" s="9" t="s">
        <v>172</v>
      </c>
      <c r="F40" s="7" t="s">
        <v>30</v>
      </c>
      <c r="G40" s="6"/>
      <c r="H40" s="6" t="s">
        <v>32</v>
      </c>
      <c r="I40" s="4" t="s">
        <v>19</v>
      </c>
      <c r="J40" s="10"/>
      <c r="K40" s="9"/>
      <c r="L40" s="9"/>
      <c r="M40" s="9"/>
    </row>
    <row r="41" spans="2:13" x14ac:dyDescent="0.35">
      <c r="B41" s="4" t="s">
        <v>8</v>
      </c>
      <c r="C41" s="9" t="s">
        <v>50</v>
      </c>
      <c r="D41" s="4" t="s">
        <v>10</v>
      </c>
      <c r="E41" s="9" t="s">
        <v>172</v>
      </c>
      <c r="F41" s="7" t="s">
        <v>76</v>
      </c>
      <c r="G41" s="47"/>
      <c r="H41" s="6" t="s">
        <v>77</v>
      </c>
      <c r="I41" s="4" t="s">
        <v>19</v>
      </c>
      <c r="J41" s="9"/>
      <c r="K41" s="9"/>
      <c r="L41" s="9"/>
      <c r="M41" s="9"/>
    </row>
    <row r="42" spans="2:13" ht="29" x14ac:dyDescent="0.35">
      <c r="B42" s="4" t="s">
        <v>8</v>
      </c>
      <c r="C42" s="9" t="s">
        <v>50</v>
      </c>
      <c r="D42" s="4" t="s">
        <v>10</v>
      </c>
      <c r="E42" s="9" t="s">
        <v>172</v>
      </c>
      <c r="F42" s="7" t="s">
        <v>79</v>
      </c>
      <c r="G42" s="6" t="s">
        <v>77</v>
      </c>
      <c r="H42" s="47"/>
      <c r="I42" s="4" t="s">
        <v>19</v>
      </c>
      <c r="J42" s="9"/>
      <c r="K42" s="9"/>
      <c r="L42" s="9"/>
      <c r="M42" s="9"/>
    </row>
    <row r="43" spans="2:13" x14ac:dyDescent="0.35">
      <c r="B43" s="4" t="s">
        <v>8</v>
      </c>
      <c r="C43" s="9" t="s">
        <v>51</v>
      </c>
      <c r="D43" s="4" t="s">
        <v>10</v>
      </c>
      <c r="E43" s="9" t="s">
        <v>172</v>
      </c>
      <c r="F43" s="28" t="s">
        <v>95</v>
      </c>
      <c r="G43" s="47"/>
      <c r="H43" s="9" t="s">
        <v>174</v>
      </c>
      <c r="I43" s="4" t="s">
        <v>19</v>
      </c>
      <c r="J43" s="9"/>
      <c r="K43" s="9"/>
      <c r="L43" s="9"/>
      <c r="M43" s="9"/>
    </row>
    <row r="44" spans="2:13" x14ac:dyDescent="0.35">
      <c r="B44" s="4" t="s">
        <v>8</v>
      </c>
      <c r="C44" s="9" t="s">
        <v>51</v>
      </c>
      <c r="D44" s="4" t="s">
        <v>10</v>
      </c>
      <c r="E44" s="9" t="s">
        <v>172</v>
      </c>
      <c r="F44" s="28" t="s">
        <v>96</v>
      </c>
      <c r="G44" s="9" t="s">
        <v>174</v>
      </c>
      <c r="H44" s="47"/>
      <c r="I44" s="4" t="s">
        <v>19</v>
      </c>
      <c r="J44" s="9"/>
      <c r="K44" s="9"/>
      <c r="L44" s="9"/>
      <c r="M44" s="9"/>
    </row>
    <row r="45" spans="2:13" x14ac:dyDescent="0.35">
      <c r="B45" s="4" t="s">
        <v>8</v>
      </c>
      <c r="C45" s="9" t="s">
        <v>50</v>
      </c>
      <c r="D45" s="4" t="s">
        <v>10</v>
      </c>
      <c r="E45" s="9" t="s">
        <v>172</v>
      </c>
      <c r="F45" s="28" t="s">
        <v>97</v>
      </c>
      <c r="G45" s="9" t="s">
        <v>175</v>
      </c>
      <c r="H45" s="47"/>
      <c r="I45" s="4" t="s">
        <v>19</v>
      </c>
      <c r="J45" s="9"/>
      <c r="K45" s="9"/>
      <c r="L45" s="9"/>
      <c r="M45" s="9"/>
    </row>
    <row r="46" spans="2:13" x14ac:dyDescent="0.35">
      <c r="B46" s="4" t="s">
        <v>8</v>
      </c>
      <c r="C46" s="9" t="s">
        <v>51</v>
      </c>
      <c r="D46" s="4" t="s">
        <v>10</v>
      </c>
      <c r="E46" s="9" t="s">
        <v>172</v>
      </c>
      <c r="F46" s="28" t="s">
        <v>98</v>
      </c>
      <c r="G46" s="9" t="s">
        <v>175</v>
      </c>
      <c r="H46" s="47"/>
      <c r="I46" s="4" t="s">
        <v>19</v>
      </c>
      <c r="J46" s="9"/>
      <c r="K46" s="9"/>
      <c r="L46" s="9"/>
      <c r="M46" s="9"/>
    </row>
    <row r="47" spans="2:13" x14ac:dyDescent="0.35">
      <c r="B47" s="4" t="s">
        <v>8</v>
      </c>
      <c r="C47" s="9" t="s">
        <v>50</v>
      </c>
      <c r="D47" s="4" t="s">
        <v>10</v>
      </c>
      <c r="E47" s="9" t="s">
        <v>171</v>
      </c>
      <c r="F47" s="28" t="s">
        <v>99</v>
      </c>
      <c r="G47" s="52">
        <v>45727</v>
      </c>
      <c r="H47" s="47"/>
      <c r="I47" s="4" t="s">
        <v>19</v>
      </c>
      <c r="J47" s="9"/>
      <c r="K47" s="9"/>
      <c r="L47" s="9"/>
      <c r="M47" s="9"/>
    </row>
    <row r="48" spans="2:13" x14ac:dyDescent="0.35">
      <c r="B48" s="4" t="s">
        <v>8</v>
      </c>
      <c r="C48" s="9" t="s">
        <v>50</v>
      </c>
      <c r="D48" s="4" t="s">
        <v>10</v>
      </c>
      <c r="E48" s="9" t="s">
        <v>171</v>
      </c>
      <c r="F48" s="28" t="s">
        <v>100</v>
      </c>
      <c r="G48" s="47"/>
      <c r="H48" s="52">
        <v>45727</v>
      </c>
      <c r="I48" s="4" t="s">
        <v>19</v>
      </c>
      <c r="J48" s="9"/>
      <c r="K48" s="9"/>
      <c r="L48" s="9"/>
      <c r="M48" s="9"/>
    </row>
    <row r="49" spans="2:13" x14ac:dyDescent="0.35">
      <c r="B49" s="4" t="s">
        <v>8</v>
      </c>
      <c r="C49" s="9" t="s">
        <v>51</v>
      </c>
      <c r="D49" s="4" t="s">
        <v>10</v>
      </c>
      <c r="E49" s="9" t="s">
        <v>171</v>
      </c>
      <c r="F49" s="28" t="s">
        <v>101</v>
      </c>
      <c r="G49" s="47"/>
      <c r="H49" s="47" t="s">
        <v>176</v>
      </c>
      <c r="I49" s="4" t="s">
        <v>19</v>
      </c>
      <c r="J49" s="9"/>
      <c r="K49" s="9"/>
      <c r="L49" s="9"/>
      <c r="M49" s="9"/>
    </row>
    <row r="50" spans="2:13" x14ac:dyDescent="0.35">
      <c r="B50" s="4" t="s">
        <v>8</v>
      </c>
      <c r="C50" s="9" t="s">
        <v>51</v>
      </c>
      <c r="D50" s="4" t="s">
        <v>10</v>
      </c>
      <c r="E50" s="9" t="s">
        <v>171</v>
      </c>
      <c r="F50" s="28" t="s">
        <v>102</v>
      </c>
      <c r="G50" s="47" t="s">
        <v>176</v>
      </c>
      <c r="H50" s="47"/>
      <c r="I50" s="4" t="s">
        <v>19</v>
      </c>
      <c r="J50" s="9"/>
      <c r="K50" s="9"/>
      <c r="L50" s="9"/>
      <c r="M50" s="9"/>
    </row>
    <row r="51" spans="2:13" ht="29" x14ac:dyDescent="0.35">
      <c r="B51" s="4" t="s">
        <v>49</v>
      </c>
      <c r="C51" s="9" t="s">
        <v>50</v>
      </c>
      <c r="D51" s="4" t="s">
        <v>10</v>
      </c>
      <c r="E51" s="9" t="s">
        <v>171</v>
      </c>
      <c r="F51" s="50" t="s">
        <v>103</v>
      </c>
      <c r="G51" s="52">
        <v>45699</v>
      </c>
      <c r="H51" s="47"/>
      <c r="I51" s="4" t="s">
        <v>19</v>
      </c>
      <c r="J51" s="9"/>
      <c r="K51" s="9"/>
      <c r="L51" s="9"/>
      <c r="M51" s="9"/>
    </row>
    <row r="52" spans="2:13" x14ac:dyDescent="0.35">
      <c r="B52" s="4" t="s">
        <v>8</v>
      </c>
      <c r="C52" s="9" t="s">
        <v>51</v>
      </c>
      <c r="D52" s="4" t="s">
        <v>10</v>
      </c>
      <c r="E52" s="9" t="s">
        <v>171</v>
      </c>
      <c r="F52" s="28" t="s">
        <v>104</v>
      </c>
      <c r="G52" s="52">
        <v>45727</v>
      </c>
      <c r="H52" s="47"/>
      <c r="I52" s="4" t="s">
        <v>19</v>
      </c>
      <c r="J52" s="9"/>
      <c r="K52" s="9"/>
      <c r="L52" s="9"/>
      <c r="M52" s="9"/>
    </row>
    <row r="53" spans="2:13" x14ac:dyDescent="0.35">
      <c r="B53" s="4" t="s">
        <v>8</v>
      </c>
      <c r="C53" s="9" t="s">
        <v>50</v>
      </c>
      <c r="D53" s="4" t="s">
        <v>10</v>
      </c>
      <c r="E53" s="9" t="s">
        <v>171</v>
      </c>
      <c r="F53" s="28" t="s">
        <v>105</v>
      </c>
      <c r="G53" s="52">
        <v>45727</v>
      </c>
      <c r="H53" s="47"/>
      <c r="I53" s="4" t="s">
        <v>19</v>
      </c>
      <c r="J53" s="9"/>
      <c r="K53" s="9"/>
      <c r="L53" s="9"/>
      <c r="M53" s="9"/>
    </row>
    <row r="54" spans="2:13" x14ac:dyDescent="0.35">
      <c r="B54" s="4" t="s">
        <v>8</v>
      </c>
      <c r="C54" s="9" t="s">
        <v>50</v>
      </c>
      <c r="D54" s="4" t="s">
        <v>10</v>
      </c>
      <c r="E54" s="9" t="s">
        <v>171</v>
      </c>
      <c r="F54" s="28" t="s">
        <v>106</v>
      </c>
      <c r="G54" s="47"/>
      <c r="H54" s="52">
        <v>45727</v>
      </c>
      <c r="I54" s="4" t="s">
        <v>19</v>
      </c>
      <c r="J54" s="9"/>
      <c r="K54" s="9"/>
      <c r="L54" s="9"/>
      <c r="M54" s="9"/>
    </row>
    <row r="55" spans="2:13" x14ac:dyDescent="0.35">
      <c r="B55" s="4" t="s">
        <v>8</v>
      </c>
      <c r="C55" s="9" t="s">
        <v>51</v>
      </c>
      <c r="D55" s="4" t="s">
        <v>10</v>
      </c>
      <c r="E55" s="9" t="s">
        <v>171</v>
      </c>
      <c r="F55" s="28" t="s">
        <v>107</v>
      </c>
      <c r="G55" s="47"/>
      <c r="H55" s="52">
        <v>45727</v>
      </c>
      <c r="I55" s="4" t="s">
        <v>19</v>
      </c>
      <c r="J55" s="9"/>
      <c r="K55" s="9"/>
      <c r="L55" s="9"/>
      <c r="M55" s="9"/>
    </row>
    <row r="56" spans="2:13" x14ac:dyDescent="0.35">
      <c r="B56" s="4" t="s">
        <v>8</v>
      </c>
      <c r="C56" s="9" t="s">
        <v>51</v>
      </c>
      <c r="D56" s="4" t="s">
        <v>10</v>
      </c>
      <c r="E56" s="9" t="s">
        <v>171</v>
      </c>
      <c r="F56" s="28" t="s">
        <v>108</v>
      </c>
      <c r="G56" s="26">
        <v>45758</v>
      </c>
      <c r="H56" s="26"/>
      <c r="I56" s="4" t="s">
        <v>19</v>
      </c>
      <c r="J56" s="9"/>
      <c r="K56" s="9"/>
      <c r="L56" s="9"/>
      <c r="M56" s="9"/>
    </row>
    <row r="57" spans="2:13" x14ac:dyDescent="0.35">
      <c r="B57" s="4" t="s">
        <v>8</v>
      </c>
      <c r="C57" s="9" t="s">
        <v>10</v>
      </c>
      <c r="D57" s="4" t="s">
        <v>10</v>
      </c>
      <c r="E57" s="9" t="s">
        <v>171</v>
      </c>
      <c r="F57" s="28" t="s">
        <v>109</v>
      </c>
      <c r="G57" s="52">
        <v>45727</v>
      </c>
      <c r="H57" s="47"/>
      <c r="I57" s="4" t="s">
        <v>19</v>
      </c>
      <c r="J57" s="9"/>
      <c r="K57" s="9"/>
      <c r="L57" s="9"/>
      <c r="M57" s="9"/>
    </row>
    <row r="58" spans="2:13" x14ac:dyDescent="0.35">
      <c r="B58" s="4" t="s">
        <v>8</v>
      </c>
      <c r="C58" s="9" t="s">
        <v>10</v>
      </c>
      <c r="D58" s="4" t="s">
        <v>10</v>
      </c>
      <c r="E58" s="9" t="s">
        <v>171</v>
      </c>
      <c r="F58" s="28" t="s">
        <v>110</v>
      </c>
      <c r="G58" s="47"/>
      <c r="H58" s="52">
        <v>45727</v>
      </c>
      <c r="I58" s="4" t="s">
        <v>19</v>
      </c>
      <c r="J58" s="9"/>
      <c r="K58" s="9"/>
      <c r="L58" s="9"/>
      <c r="M58" s="9"/>
    </row>
    <row r="59" spans="2:13" x14ac:dyDescent="0.35">
      <c r="B59" s="4" t="s">
        <v>8</v>
      </c>
      <c r="C59" s="9" t="s">
        <v>10</v>
      </c>
      <c r="D59" s="4" t="s">
        <v>10</v>
      </c>
      <c r="E59" s="9" t="s">
        <v>171</v>
      </c>
      <c r="F59" s="28" t="s">
        <v>111</v>
      </c>
      <c r="G59" s="52">
        <v>45819</v>
      </c>
      <c r="H59" s="47"/>
      <c r="I59" s="4" t="s">
        <v>19</v>
      </c>
      <c r="J59" s="9"/>
      <c r="K59" s="9"/>
      <c r="L59" s="9"/>
      <c r="M59" s="9"/>
    </row>
    <row r="60" spans="2:13" x14ac:dyDescent="0.35">
      <c r="B60" s="4" t="s">
        <v>8</v>
      </c>
      <c r="C60" s="9" t="s">
        <v>10</v>
      </c>
      <c r="D60" s="4" t="s">
        <v>10</v>
      </c>
      <c r="E60" s="9" t="s">
        <v>171</v>
      </c>
      <c r="F60" s="28" t="s">
        <v>112</v>
      </c>
      <c r="G60" s="47"/>
      <c r="H60" s="52">
        <v>45819</v>
      </c>
      <c r="I60" s="4" t="s">
        <v>19</v>
      </c>
      <c r="J60" s="9"/>
      <c r="K60" s="9"/>
      <c r="L60" s="9"/>
      <c r="M60" s="9"/>
    </row>
    <row r="61" spans="2:13" x14ac:dyDescent="0.35">
      <c r="B61" s="4" t="s">
        <v>8</v>
      </c>
      <c r="C61" s="9" t="s">
        <v>10</v>
      </c>
      <c r="D61" s="4" t="s">
        <v>10</v>
      </c>
      <c r="E61" s="9" t="s">
        <v>171</v>
      </c>
      <c r="F61" s="28" t="s">
        <v>113</v>
      </c>
      <c r="G61" s="52">
        <v>45941</v>
      </c>
      <c r="H61" s="47"/>
      <c r="I61" s="4" t="s">
        <v>19</v>
      </c>
      <c r="J61" s="9"/>
      <c r="K61" s="9"/>
      <c r="L61" s="9"/>
      <c r="M61" s="9"/>
    </row>
    <row r="62" spans="2:13" x14ac:dyDescent="0.35">
      <c r="B62" s="4" t="s">
        <v>8</v>
      </c>
      <c r="C62" s="9" t="s">
        <v>51</v>
      </c>
      <c r="D62" s="4" t="s">
        <v>10</v>
      </c>
      <c r="E62" s="9" t="s">
        <v>171</v>
      </c>
      <c r="F62" s="28" t="s">
        <v>114</v>
      </c>
      <c r="G62" s="52" t="s">
        <v>177</v>
      </c>
      <c r="H62" s="47"/>
      <c r="I62" s="4" t="s">
        <v>19</v>
      </c>
      <c r="J62" s="9"/>
      <c r="K62" s="9"/>
      <c r="L62" s="9"/>
      <c r="M62" s="9"/>
    </row>
    <row r="63" spans="2:13" x14ac:dyDescent="0.35">
      <c r="B63" s="4" t="s">
        <v>8</v>
      </c>
      <c r="C63" s="9" t="s">
        <v>51</v>
      </c>
      <c r="D63" s="4" t="s">
        <v>10</v>
      </c>
      <c r="E63" s="9" t="s">
        <v>170</v>
      </c>
      <c r="F63" s="28" t="s">
        <v>115</v>
      </c>
      <c r="G63" s="52" t="s">
        <v>178</v>
      </c>
      <c r="H63" s="47"/>
      <c r="I63" s="4" t="s">
        <v>19</v>
      </c>
      <c r="J63" s="9"/>
      <c r="K63" s="9"/>
      <c r="L63" s="9"/>
      <c r="M63" s="9"/>
    </row>
    <row r="64" spans="2:13" x14ac:dyDescent="0.35">
      <c r="B64" s="4" t="s">
        <v>8</v>
      </c>
      <c r="C64" s="9" t="s">
        <v>10</v>
      </c>
      <c r="D64" s="4" t="s">
        <v>10</v>
      </c>
      <c r="E64" s="9" t="s">
        <v>170</v>
      </c>
      <c r="F64" s="28" t="s">
        <v>116</v>
      </c>
      <c r="G64" s="52" t="s">
        <v>178</v>
      </c>
      <c r="H64" s="47"/>
      <c r="I64" s="4" t="s">
        <v>19</v>
      </c>
      <c r="J64" s="9"/>
      <c r="K64" s="9"/>
      <c r="L64" s="9"/>
      <c r="M64" s="9"/>
    </row>
    <row r="65" spans="2:13" x14ac:dyDescent="0.35">
      <c r="B65" s="4" t="s">
        <v>8</v>
      </c>
      <c r="C65" s="9" t="s">
        <v>10</v>
      </c>
      <c r="D65" s="4" t="s">
        <v>10</v>
      </c>
      <c r="E65" s="9" t="s">
        <v>170</v>
      </c>
      <c r="F65" s="28" t="s">
        <v>117</v>
      </c>
      <c r="G65" s="47"/>
      <c r="H65" s="52" t="s">
        <v>179</v>
      </c>
      <c r="I65" s="4" t="s">
        <v>19</v>
      </c>
      <c r="J65" s="9"/>
      <c r="K65" s="9"/>
      <c r="L65" s="9"/>
      <c r="M65" s="9"/>
    </row>
    <row r="66" spans="2:13" x14ac:dyDescent="0.35">
      <c r="B66" s="4" t="s">
        <v>8</v>
      </c>
      <c r="C66" s="9" t="s">
        <v>10</v>
      </c>
      <c r="D66" s="4" t="s">
        <v>10</v>
      </c>
      <c r="E66" s="9" t="s">
        <v>170</v>
      </c>
      <c r="F66" s="28" t="s">
        <v>118</v>
      </c>
      <c r="G66" s="52" t="s">
        <v>179</v>
      </c>
      <c r="H66" s="47"/>
      <c r="I66" s="4" t="s">
        <v>19</v>
      </c>
      <c r="J66" s="9"/>
      <c r="K66" s="9"/>
      <c r="L66" s="9"/>
      <c r="M66" s="9"/>
    </row>
    <row r="67" spans="2:13" x14ac:dyDescent="0.35">
      <c r="B67" s="4" t="s">
        <v>8</v>
      </c>
      <c r="C67" s="9" t="s">
        <v>10</v>
      </c>
      <c r="D67" s="4" t="s">
        <v>10</v>
      </c>
      <c r="E67" s="9" t="s">
        <v>170</v>
      </c>
      <c r="F67" s="28" t="s">
        <v>156</v>
      </c>
      <c r="G67" s="52" t="s">
        <v>180</v>
      </c>
      <c r="H67" s="47"/>
      <c r="I67" s="4" t="s">
        <v>19</v>
      </c>
      <c r="J67" s="9"/>
      <c r="K67" s="9"/>
      <c r="L67" s="9"/>
      <c r="M67" s="9"/>
    </row>
    <row r="68" spans="2:13" x14ac:dyDescent="0.35">
      <c r="B68" s="4" t="s">
        <v>8</v>
      </c>
      <c r="C68" s="9" t="s">
        <v>51</v>
      </c>
      <c r="D68" s="4" t="s">
        <v>10</v>
      </c>
      <c r="E68" s="9" t="s">
        <v>170</v>
      </c>
      <c r="F68" s="28" t="s">
        <v>119</v>
      </c>
      <c r="G68" s="52" t="s">
        <v>180</v>
      </c>
      <c r="H68" s="47"/>
      <c r="I68" s="4" t="s">
        <v>19</v>
      </c>
      <c r="J68" s="9"/>
      <c r="K68" s="9"/>
      <c r="L68" s="9"/>
      <c r="M68" s="9"/>
    </row>
    <row r="69" spans="2:13" x14ac:dyDescent="0.35">
      <c r="B69" s="4" t="s">
        <v>8</v>
      </c>
      <c r="C69" s="9" t="s">
        <v>51</v>
      </c>
      <c r="D69" s="4" t="s">
        <v>10</v>
      </c>
      <c r="E69" s="9" t="s">
        <v>170</v>
      </c>
      <c r="F69" s="28" t="s">
        <v>120</v>
      </c>
      <c r="G69" s="52" t="s">
        <v>181</v>
      </c>
      <c r="H69" s="47"/>
      <c r="I69" s="4" t="s">
        <v>19</v>
      </c>
      <c r="J69" s="9"/>
      <c r="K69" s="9"/>
      <c r="L69" s="9"/>
      <c r="M69" s="9"/>
    </row>
    <row r="70" spans="2:13" x14ac:dyDescent="0.35">
      <c r="B70" s="4" t="s">
        <v>8</v>
      </c>
      <c r="C70" s="46" t="s">
        <v>10</v>
      </c>
      <c r="D70" s="4" t="s">
        <v>10</v>
      </c>
      <c r="E70" s="9" t="s">
        <v>170</v>
      </c>
      <c r="F70" s="28" t="s">
        <v>121</v>
      </c>
      <c r="G70" s="52" t="s">
        <v>181</v>
      </c>
      <c r="H70" s="47"/>
      <c r="I70" s="4" t="s">
        <v>19</v>
      </c>
      <c r="J70" s="9"/>
      <c r="K70" s="9"/>
      <c r="L70" s="9"/>
      <c r="M70" s="9"/>
    </row>
    <row r="71" spans="2:13" x14ac:dyDescent="0.35">
      <c r="B71" s="4" t="s">
        <v>8</v>
      </c>
      <c r="C71" s="46" t="s">
        <v>10</v>
      </c>
      <c r="D71" s="4" t="s">
        <v>10</v>
      </c>
      <c r="E71" s="9" t="s">
        <v>170</v>
      </c>
      <c r="F71" s="28" t="s">
        <v>157</v>
      </c>
      <c r="G71" s="46" t="s">
        <v>161</v>
      </c>
      <c r="H71" s="47"/>
      <c r="I71" s="4" t="s">
        <v>19</v>
      </c>
      <c r="J71" s="9"/>
      <c r="K71" s="9"/>
      <c r="L71" s="9"/>
      <c r="M71" s="9"/>
    </row>
    <row r="72" spans="2:13" x14ac:dyDescent="0.35">
      <c r="B72" s="4" t="s">
        <v>8</v>
      </c>
      <c r="C72" s="46" t="s">
        <v>10</v>
      </c>
      <c r="D72" s="4" t="s">
        <v>10</v>
      </c>
      <c r="E72" s="9" t="s">
        <v>170</v>
      </c>
      <c r="F72" s="28" t="s">
        <v>163</v>
      </c>
      <c r="G72" s="46" t="s">
        <v>161</v>
      </c>
      <c r="H72" s="47"/>
      <c r="I72" s="4" t="s">
        <v>19</v>
      </c>
      <c r="J72" s="9"/>
      <c r="K72" s="9"/>
      <c r="L72" s="9"/>
      <c r="M72" s="9"/>
    </row>
    <row r="73" spans="2:13" x14ac:dyDescent="0.35">
      <c r="B73" s="4" t="s">
        <v>8</v>
      </c>
      <c r="C73" s="46" t="s">
        <v>10</v>
      </c>
      <c r="D73" s="4" t="s">
        <v>10</v>
      </c>
      <c r="E73" s="9" t="s">
        <v>170</v>
      </c>
      <c r="F73" s="28" t="s">
        <v>164</v>
      </c>
      <c r="G73" s="46" t="s">
        <v>161</v>
      </c>
      <c r="H73" s="47"/>
      <c r="I73" s="4" t="s">
        <v>19</v>
      </c>
      <c r="J73" s="9"/>
      <c r="K73" s="9"/>
      <c r="L73" s="9"/>
      <c r="M73" s="9"/>
    </row>
    <row r="74" spans="2:13" x14ac:dyDescent="0.35">
      <c r="B74" s="4" t="s">
        <v>8</v>
      </c>
      <c r="C74" s="46" t="s">
        <v>51</v>
      </c>
      <c r="D74" s="4" t="s">
        <v>10</v>
      </c>
      <c r="E74" s="9" t="s">
        <v>170</v>
      </c>
      <c r="F74" s="28" t="s">
        <v>158</v>
      </c>
      <c r="G74" s="46" t="s">
        <v>161</v>
      </c>
      <c r="H74" s="47"/>
      <c r="I74" s="4" t="s">
        <v>19</v>
      </c>
      <c r="J74" s="9"/>
      <c r="K74" s="9"/>
      <c r="L74" s="9"/>
      <c r="M74" s="9"/>
    </row>
    <row r="75" spans="2:13" x14ac:dyDescent="0.35">
      <c r="B75" s="4" t="s">
        <v>8</v>
      </c>
      <c r="C75" s="46" t="s">
        <v>51</v>
      </c>
      <c r="D75" s="4" t="s">
        <v>10</v>
      </c>
      <c r="E75" s="9" t="s">
        <v>170</v>
      </c>
      <c r="F75" s="28" t="s">
        <v>159</v>
      </c>
      <c r="G75" s="46" t="s">
        <v>161</v>
      </c>
      <c r="H75" s="47"/>
      <c r="I75" s="4" t="s">
        <v>19</v>
      </c>
      <c r="J75" s="9"/>
      <c r="K75" s="9"/>
      <c r="L75" s="9"/>
      <c r="M75" s="9"/>
    </row>
    <row r="76" spans="2:13" x14ac:dyDescent="0.35">
      <c r="B76" s="4" t="s">
        <v>8</v>
      </c>
      <c r="C76" s="46" t="s">
        <v>51</v>
      </c>
      <c r="D76" s="4" t="s">
        <v>10</v>
      </c>
      <c r="E76" s="9" t="s">
        <v>170</v>
      </c>
      <c r="F76" s="28" t="s">
        <v>160</v>
      </c>
      <c r="G76" s="46" t="s">
        <v>161</v>
      </c>
      <c r="H76" s="47"/>
      <c r="I76" s="4" t="s">
        <v>19</v>
      </c>
      <c r="J76" s="9"/>
      <c r="K76" s="9"/>
      <c r="L76" s="9"/>
      <c r="M76" s="9"/>
    </row>
    <row r="77" spans="2:13" x14ac:dyDescent="0.35">
      <c r="B77" s="4" t="s">
        <v>8</v>
      </c>
      <c r="C77" s="46" t="s">
        <v>10</v>
      </c>
      <c r="D77" s="4" t="s">
        <v>10</v>
      </c>
      <c r="E77" s="9" t="s">
        <v>170</v>
      </c>
      <c r="F77" s="28" t="s">
        <v>162</v>
      </c>
      <c r="G77" s="46"/>
      <c r="H77" s="46" t="s">
        <v>182</v>
      </c>
      <c r="I77" s="4" t="s">
        <v>19</v>
      </c>
      <c r="J77" s="9"/>
      <c r="K77" s="9"/>
      <c r="L77" s="9"/>
      <c r="M77" s="9"/>
    </row>
    <row r="78" spans="2:13" x14ac:dyDescent="0.35">
      <c r="B78" s="4" t="s">
        <v>8</v>
      </c>
      <c r="C78" s="46" t="s">
        <v>10</v>
      </c>
      <c r="D78" s="4" t="s">
        <v>10</v>
      </c>
      <c r="E78" s="9" t="s">
        <v>170</v>
      </c>
      <c r="F78" s="28" t="s">
        <v>165</v>
      </c>
      <c r="G78" s="46"/>
      <c r="H78" s="46" t="s">
        <v>182</v>
      </c>
      <c r="I78" s="4" t="s">
        <v>19</v>
      </c>
      <c r="J78" s="9"/>
      <c r="K78" s="9"/>
      <c r="L78" s="9"/>
      <c r="M78" s="9"/>
    </row>
    <row r="79" spans="2:13" x14ac:dyDescent="0.35">
      <c r="B79" s="4" t="s">
        <v>8</v>
      </c>
      <c r="C79" s="9" t="s">
        <v>51</v>
      </c>
      <c r="D79" s="4" t="s">
        <v>10</v>
      </c>
      <c r="E79" s="9" t="s">
        <v>170</v>
      </c>
      <c r="F79" s="28" t="s">
        <v>122</v>
      </c>
      <c r="G79" s="47"/>
      <c r="H79" s="46" t="s">
        <v>182</v>
      </c>
      <c r="I79" s="4" t="s">
        <v>19</v>
      </c>
      <c r="J79" s="9"/>
      <c r="K79" s="9"/>
      <c r="L79" s="9"/>
      <c r="M79" s="9"/>
    </row>
    <row r="80" spans="2:13" x14ac:dyDescent="0.35">
      <c r="B80" s="4" t="s">
        <v>8</v>
      </c>
      <c r="C80" s="9" t="s">
        <v>10</v>
      </c>
      <c r="D80" s="4" t="s">
        <v>10</v>
      </c>
      <c r="E80" s="9" t="s">
        <v>170</v>
      </c>
      <c r="F80" s="28" t="s">
        <v>123</v>
      </c>
      <c r="G80" s="47"/>
      <c r="H80" s="46" t="s">
        <v>183</v>
      </c>
      <c r="I80" s="4" t="s">
        <v>19</v>
      </c>
      <c r="J80" s="9"/>
      <c r="K80" s="9"/>
      <c r="L80" s="9"/>
      <c r="M80" s="9"/>
    </row>
    <row r="81" spans="2:13" x14ac:dyDescent="0.35">
      <c r="B81" s="4" t="s">
        <v>8</v>
      </c>
      <c r="C81" s="9" t="s">
        <v>51</v>
      </c>
      <c r="D81" s="4" t="s">
        <v>10</v>
      </c>
      <c r="E81" s="9" t="s">
        <v>170</v>
      </c>
      <c r="F81" s="28" t="s">
        <v>124</v>
      </c>
      <c r="G81" s="47"/>
      <c r="H81" s="46" t="s">
        <v>183</v>
      </c>
      <c r="I81" s="4" t="s">
        <v>19</v>
      </c>
      <c r="J81" s="9"/>
      <c r="K81" s="9"/>
      <c r="L81" s="9"/>
      <c r="M81" s="9"/>
    </row>
    <row r="82" spans="2:13" x14ac:dyDescent="0.35">
      <c r="B82" s="4" t="s">
        <v>8</v>
      </c>
      <c r="C82" s="9" t="s">
        <v>51</v>
      </c>
      <c r="D82" s="4" t="s">
        <v>10</v>
      </c>
      <c r="E82" s="9" t="s">
        <v>170</v>
      </c>
      <c r="F82" s="28" t="s">
        <v>125</v>
      </c>
      <c r="G82" s="47"/>
      <c r="H82" s="46" t="s">
        <v>184</v>
      </c>
      <c r="I82" s="4" t="s">
        <v>19</v>
      </c>
      <c r="J82" s="9"/>
      <c r="K82" s="9"/>
      <c r="L82" s="9"/>
      <c r="M82" s="9"/>
    </row>
    <row r="83" spans="2:13" x14ac:dyDescent="0.35">
      <c r="B83" s="4" t="s">
        <v>8</v>
      </c>
      <c r="C83" s="9" t="s">
        <v>10</v>
      </c>
      <c r="D83" s="4" t="s">
        <v>10</v>
      </c>
      <c r="E83" s="9" t="s">
        <v>170</v>
      </c>
      <c r="F83" s="51" t="s">
        <v>126</v>
      </c>
      <c r="G83" s="47"/>
      <c r="H83" s="52" t="s">
        <v>178</v>
      </c>
      <c r="I83" s="4" t="s">
        <v>19</v>
      </c>
      <c r="J83" s="9"/>
      <c r="K83" s="9"/>
      <c r="L83" s="9"/>
      <c r="M83" s="9"/>
    </row>
    <row r="84" spans="2:13" x14ac:dyDescent="0.35">
      <c r="B84" s="4" t="s">
        <v>8</v>
      </c>
      <c r="C84" s="9" t="s">
        <v>10</v>
      </c>
      <c r="D84" s="4" t="s">
        <v>10</v>
      </c>
      <c r="E84" s="9" t="s">
        <v>170</v>
      </c>
      <c r="F84" s="28" t="s">
        <v>127</v>
      </c>
      <c r="G84" s="52" t="s">
        <v>180</v>
      </c>
      <c r="H84" s="47"/>
      <c r="I84" s="4" t="s">
        <v>19</v>
      </c>
      <c r="J84" s="9"/>
      <c r="K84" s="9"/>
      <c r="L84" s="9"/>
      <c r="M84" s="9"/>
    </row>
    <row r="85" spans="2:13" x14ac:dyDescent="0.35">
      <c r="B85" s="4" t="s">
        <v>8</v>
      </c>
      <c r="C85" s="9" t="s">
        <v>51</v>
      </c>
      <c r="D85" s="4" t="s">
        <v>10</v>
      </c>
      <c r="E85" s="9" t="s">
        <v>170</v>
      </c>
      <c r="F85" s="28" t="s">
        <v>128</v>
      </c>
      <c r="G85" s="47"/>
      <c r="H85" s="46" t="s">
        <v>185</v>
      </c>
      <c r="I85" s="4" t="s">
        <v>19</v>
      </c>
      <c r="J85" s="9"/>
      <c r="K85" s="9"/>
      <c r="L85" s="9"/>
      <c r="M85" s="9"/>
    </row>
    <row r="86" spans="2:13" x14ac:dyDescent="0.35">
      <c r="B86" s="4" t="s">
        <v>8</v>
      </c>
      <c r="C86" s="9" t="s">
        <v>51</v>
      </c>
      <c r="D86" s="4" t="s">
        <v>10</v>
      </c>
      <c r="E86" s="9" t="s">
        <v>170</v>
      </c>
      <c r="F86" s="28" t="s">
        <v>129</v>
      </c>
      <c r="G86" s="46" t="s">
        <v>186</v>
      </c>
      <c r="H86" s="47"/>
      <c r="I86" s="4" t="s">
        <v>19</v>
      </c>
      <c r="J86" s="9"/>
      <c r="K86" s="9"/>
      <c r="L86" s="9"/>
      <c r="M86" s="9"/>
    </row>
    <row r="87" spans="2:13" x14ac:dyDescent="0.35">
      <c r="B87" s="4" t="s">
        <v>8</v>
      </c>
      <c r="C87" s="9" t="s">
        <v>51</v>
      </c>
      <c r="D87" s="4" t="s">
        <v>10</v>
      </c>
      <c r="E87" s="9" t="s">
        <v>170</v>
      </c>
      <c r="F87" s="28" t="s">
        <v>130</v>
      </c>
      <c r="G87" s="26">
        <v>45669</v>
      </c>
      <c r="H87" s="47"/>
      <c r="I87" s="4" t="s">
        <v>19</v>
      </c>
      <c r="J87" s="9"/>
      <c r="K87" s="9"/>
      <c r="L87" s="9"/>
      <c r="M87" s="9"/>
    </row>
    <row r="88" spans="2:13" x14ac:dyDescent="0.35">
      <c r="B88" s="4" t="s">
        <v>8</v>
      </c>
      <c r="C88" s="9" t="s">
        <v>51</v>
      </c>
      <c r="D88" s="4" t="s">
        <v>10</v>
      </c>
      <c r="E88" s="9" t="s">
        <v>170</v>
      </c>
      <c r="F88" s="28" t="s">
        <v>131</v>
      </c>
      <c r="G88" s="47"/>
      <c r="H88" s="26">
        <v>45669</v>
      </c>
      <c r="I88" s="4" t="s">
        <v>19</v>
      </c>
      <c r="J88" s="9"/>
      <c r="K88" s="9"/>
      <c r="L88" s="9"/>
      <c r="M88" s="9"/>
    </row>
    <row r="89" spans="2:13" x14ac:dyDescent="0.35">
      <c r="B89" s="4" t="s">
        <v>8</v>
      </c>
      <c r="C89" s="9" t="s">
        <v>51</v>
      </c>
      <c r="D89" s="4" t="s">
        <v>10</v>
      </c>
      <c r="E89" s="9" t="s">
        <v>170</v>
      </c>
      <c r="F89" s="28" t="s">
        <v>132</v>
      </c>
      <c r="G89" s="46" t="s">
        <v>185</v>
      </c>
      <c r="H89" s="47"/>
      <c r="I89" s="4" t="s">
        <v>19</v>
      </c>
      <c r="J89" s="9"/>
      <c r="K89" s="9"/>
      <c r="L89" s="9"/>
      <c r="M89" s="9"/>
    </row>
    <row r="90" spans="2:13" x14ac:dyDescent="0.35">
      <c r="B90" s="4" t="s">
        <v>8</v>
      </c>
      <c r="C90" s="9" t="s">
        <v>51</v>
      </c>
      <c r="D90" s="4" t="s">
        <v>10</v>
      </c>
      <c r="E90" s="9" t="s">
        <v>170</v>
      </c>
      <c r="F90" s="28" t="s">
        <v>133</v>
      </c>
      <c r="G90" s="46" t="s">
        <v>187</v>
      </c>
      <c r="H90" s="47"/>
      <c r="I90" s="4" t="s">
        <v>19</v>
      </c>
      <c r="J90" s="9"/>
      <c r="K90" s="9"/>
      <c r="L90" s="9"/>
      <c r="M90" s="9"/>
    </row>
    <row r="91" spans="2:13" x14ac:dyDescent="0.35">
      <c r="B91" s="4" t="s">
        <v>8</v>
      </c>
      <c r="C91" s="9" t="s">
        <v>10</v>
      </c>
      <c r="D91" s="4" t="s">
        <v>10</v>
      </c>
      <c r="E91" s="9" t="s">
        <v>170</v>
      </c>
      <c r="F91" s="28" t="s">
        <v>134</v>
      </c>
      <c r="G91" s="46" t="s">
        <v>183</v>
      </c>
      <c r="H91" s="47"/>
      <c r="I91" s="4" t="s">
        <v>19</v>
      </c>
      <c r="J91" s="9"/>
      <c r="K91" s="9"/>
      <c r="L91" s="9"/>
      <c r="M91" s="9"/>
    </row>
    <row r="92" spans="2:13" x14ac:dyDescent="0.35">
      <c r="B92" s="4" t="s">
        <v>13</v>
      </c>
      <c r="C92" s="9" t="s">
        <v>10</v>
      </c>
      <c r="D92" s="4" t="s">
        <v>10</v>
      </c>
      <c r="E92" s="9"/>
      <c r="F92" s="28" t="s">
        <v>166</v>
      </c>
      <c r="G92" s="26">
        <v>45669</v>
      </c>
      <c r="H92" s="47"/>
      <c r="I92" s="4" t="s">
        <v>19</v>
      </c>
      <c r="J92" s="9"/>
      <c r="K92" s="9"/>
      <c r="L92" s="9"/>
      <c r="M92" s="9"/>
    </row>
    <row r="93" spans="2:13" x14ac:dyDescent="0.35">
      <c r="B93" s="4" t="s">
        <v>13</v>
      </c>
      <c r="C93" s="9" t="s">
        <v>51</v>
      </c>
      <c r="D93" s="4" t="s">
        <v>10</v>
      </c>
      <c r="E93" s="9"/>
      <c r="F93" s="28" t="s">
        <v>167</v>
      </c>
      <c r="G93" s="26">
        <v>45700</v>
      </c>
      <c r="H93" s="47"/>
      <c r="I93" s="4" t="s">
        <v>19</v>
      </c>
      <c r="J93" s="9"/>
      <c r="K93" s="9"/>
      <c r="L93" s="9"/>
      <c r="M93" s="9"/>
    </row>
    <row r="94" spans="2:13" x14ac:dyDescent="0.35">
      <c r="B94" s="4" t="s">
        <v>13</v>
      </c>
      <c r="C94" s="9" t="s">
        <v>10</v>
      </c>
      <c r="D94" s="4" t="s">
        <v>10</v>
      </c>
      <c r="E94" s="9"/>
      <c r="F94" s="28" t="s">
        <v>168</v>
      </c>
      <c r="G94" s="26">
        <v>45728</v>
      </c>
      <c r="H94" s="47"/>
      <c r="I94" s="4" t="s">
        <v>19</v>
      </c>
      <c r="J94" s="9"/>
      <c r="K94" s="9"/>
      <c r="L94" s="9"/>
      <c r="M94" s="9"/>
    </row>
    <row r="95" spans="2:13" x14ac:dyDescent="0.35">
      <c r="B95" s="4" t="s">
        <v>8</v>
      </c>
      <c r="C95" s="9" t="s">
        <v>51</v>
      </c>
      <c r="D95" s="4" t="s">
        <v>10</v>
      </c>
      <c r="E95" s="9"/>
      <c r="F95" s="28" t="s">
        <v>169</v>
      </c>
      <c r="G95" s="26">
        <v>45728</v>
      </c>
      <c r="H95" s="47"/>
      <c r="I95" s="4" t="s">
        <v>19</v>
      </c>
      <c r="J95" s="9"/>
      <c r="K95" s="9"/>
      <c r="L95" s="9"/>
      <c r="M95" s="9"/>
    </row>
    <row r="96" spans="2:13" x14ac:dyDescent="0.35">
      <c r="B96" s="4" t="s">
        <v>8</v>
      </c>
      <c r="C96" s="9" t="s">
        <v>51</v>
      </c>
      <c r="D96" s="4" t="s">
        <v>10</v>
      </c>
      <c r="E96" s="9"/>
      <c r="F96" s="28" t="s">
        <v>135</v>
      </c>
      <c r="G96" s="47"/>
      <c r="H96" s="26">
        <v>45669</v>
      </c>
      <c r="I96" s="4" t="s">
        <v>19</v>
      </c>
      <c r="J96" s="9"/>
      <c r="K96" s="9"/>
      <c r="L96" s="9"/>
      <c r="M96" s="9"/>
    </row>
    <row r="97" spans="2:13" x14ac:dyDescent="0.35">
      <c r="B97" s="4" t="s">
        <v>8</v>
      </c>
      <c r="C97" s="9" t="s">
        <v>51</v>
      </c>
      <c r="D97" s="4" t="s">
        <v>10</v>
      </c>
      <c r="E97" s="9"/>
      <c r="F97" s="28" t="s">
        <v>136</v>
      </c>
      <c r="G97" s="26">
        <v>45942</v>
      </c>
      <c r="H97" s="47"/>
      <c r="I97" s="4" t="s">
        <v>19</v>
      </c>
      <c r="J97" s="9"/>
      <c r="K97" s="9"/>
      <c r="L97" s="9"/>
      <c r="M97" s="9"/>
    </row>
    <row r="98" spans="2:13" x14ac:dyDescent="0.35">
      <c r="B98" s="4" t="s">
        <v>8</v>
      </c>
      <c r="C98" s="9" t="s">
        <v>51</v>
      </c>
      <c r="D98" s="4" t="s">
        <v>10</v>
      </c>
      <c r="E98" s="9"/>
      <c r="F98" s="28" t="s">
        <v>137</v>
      </c>
      <c r="G98" s="26">
        <v>45973</v>
      </c>
      <c r="H98" s="47"/>
      <c r="I98" s="4" t="s">
        <v>19</v>
      </c>
      <c r="J98" s="9"/>
      <c r="K98" s="9"/>
      <c r="L98" s="9"/>
      <c r="M98" s="9"/>
    </row>
    <row r="99" spans="2:13" x14ac:dyDescent="0.35">
      <c r="B99" s="4" t="s">
        <v>8</v>
      </c>
      <c r="C99" s="9" t="s">
        <v>51</v>
      </c>
      <c r="D99" s="4" t="s">
        <v>10</v>
      </c>
      <c r="E99" s="9"/>
      <c r="F99" s="28" t="s">
        <v>138</v>
      </c>
      <c r="G99" s="26">
        <v>45973</v>
      </c>
      <c r="H99" s="47"/>
      <c r="I99" s="4" t="s">
        <v>19</v>
      </c>
      <c r="J99" s="9"/>
      <c r="K99" s="9"/>
      <c r="L99" s="9"/>
      <c r="M99" s="9"/>
    </row>
    <row r="100" spans="2:13" x14ac:dyDescent="0.35">
      <c r="B100" s="4" t="s">
        <v>8</v>
      </c>
      <c r="C100" s="9" t="s">
        <v>10</v>
      </c>
      <c r="D100" s="4" t="s">
        <v>10</v>
      </c>
      <c r="E100" s="9"/>
      <c r="F100" s="28" t="s">
        <v>139</v>
      </c>
      <c r="G100" s="26">
        <v>45973</v>
      </c>
      <c r="H100" s="47"/>
      <c r="I100" s="4" t="s">
        <v>19</v>
      </c>
      <c r="J100" s="9"/>
      <c r="K100" s="9"/>
      <c r="L100" s="9"/>
      <c r="M100" s="9"/>
    </row>
    <row r="101" spans="2:13" x14ac:dyDescent="0.35">
      <c r="B101" s="4" t="s">
        <v>8</v>
      </c>
      <c r="C101" s="9" t="s">
        <v>10</v>
      </c>
      <c r="D101" s="4" t="s">
        <v>10</v>
      </c>
      <c r="E101" s="9"/>
      <c r="F101" s="28" t="s">
        <v>140</v>
      </c>
      <c r="G101" s="26">
        <v>46003</v>
      </c>
      <c r="H101" s="47"/>
      <c r="I101" s="4" t="s">
        <v>18</v>
      </c>
      <c r="J101" s="9"/>
      <c r="K101" s="9"/>
      <c r="L101" s="9"/>
      <c r="M101" s="9"/>
    </row>
    <row r="102" spans="2:13" x14ac:dyDescent="0.35">
      <c r="B102" s="4"/>
      <c r="C102" s="9"/>
      <c r="D102" s="4"/>
      <c r="E102" s="9"/>
      <c r="F102" s="28" t="s">
        <v>141</v>
      </c>
      <c r="G102" s="47"/>
      <c r="H102" s="47" t="s">
        <v>142</v>
      </c>
      <c r="I102" s="4" t="s">
        <v>18</v>
      </c>
      <c r="J102" s="9"/>
      <c r="K102" s="9"/>
      <c r="L102" s="9"/>
      <c r="M102" s="9"/>
    </row>
    <row r="103" spans="2:13" x14ac:dyDescent="0.35">
      <c r="B103" s="4"/>
      <c r="C103" s="9"/>
      <c r="D103" s="4"/>
      <c r="E103" s="9"/>
      <c r="F103" s="28" t="s">
        <v>145</v>
      </c>
      <c r="G103" s="47"/>
      <c r="H103" s="47" t="s">
        <v>142</v>
      </c>
      <c r="I103" s="4" t="s">
        <v>18</v>
      </c>
      <c r="J103" s="9"/>
      <c r="K103" s="9"/>
      <c r="L103" s="9"/>
      <c r="M103" s="9"/>
    </row>
    <row r="104" spans="2:13" x14ac:dyDescent="0.35">
      <c r="B104" s="4"/>
      <c r="C104" s="9"/>
      <c r="D104" s="4"/>
      <c r="E104" s="9"/>
      <c r="F104" s="28" t="s">
        <v>146</v>
      </c>
      <c r="G104" s="47"/>
      <c r="H104" s="47" t="s">
        <v>147</v>
      </c>
      <c r="I104" s="4" t="s">
        <v>18</v>
      </c>
      <c r="J104" s="9"/>
      <c r="K104" s="9"/>
      <c r="L104" s="9"/>
      <c r="M104" s="9"/>
    </row>
    <row r="105" spans="2:13" x14ac:dyDescent="0.35">
      <c r="B105" s="4"/>
      <c r="C105" s="9"/>
      <c r="D105" s="4"/>
      <c r="E105" s="9"/>
      <c r="F105" s="28" t="s">
        <v>143</v>
      </c>
      <c r="G105" s="47"/>
      <c r="H105" s="47" t="s">
        <v>144</v>
      </c>
      <c r="I105" s="4" t="s">
        <v>18</v>
      </c>
      <c r="J105" s="9"/>
      <c r="K105" s="9"/>
      <c r="L105" s="9"/>
      <c r="M105" s="9"/>
    </row>
    <row r="106" spans="2:13" x14ac:dyDescent="0.35">
      <c r="B106" s="4"/>
      <c r="C106" s="9"/>
      <c r="D106" s="4"/>
      <c r="E106" s="9"/>
      <c r="F106" s="28" t="s">
        <v>148</v>
      </c>
      <c r="G106" s="47"/>
      <c r="H106" s="47" t="s">
        <v>144</v>
      </c>
      <c r="I106" s="4" t="s">
        <v>18</v>
      </c>
      <c r="J106" s="9"/>
      <c r="K106" s="9"/>
      <c r="L106" s="9"/>
      <c r="M106" s="9"/>
    </row>
    <row r="107" spans="2:13" x14ac:dyDescent="0.35">
      <c r="B107" s="4"/>
      <c r="C107" s="9"/>
      <c r="D107" s="4"/>
      <c r="E107" s="9"/>
      <c r="F107" s="48" t="s">
        <v>149</v>
      </c>
      <c r="G107" s="47"/>
      <c r="H107" s="47" t="s">
        <v>142</v>
      </c>
      <c r="I107" s="4" t="s">
        <v>18</v>
      </c>
      <c r="J107" s="9"/>
      <c r="K107" s="9"/>
      <c r="L107" s="9"/>
      <c r="M107" s="9"/>
    </row>
    <row r="108" spans="2:13" x14ac:dyDescent="0.35">
      <c r="B108" s="4"/>
      <c r="C108" s="9"/>
      <c r="D108" s="4"/>
      <c r="E108" s="9"/>
      <c r="F108" s="48" t="s">
        <v>150</v>
      </c>
      <c r="G108" s="47" t="s">
        <v>147</v>
      </c>
      <c r="H108" s="47"/>
      <c r="I108" s="4" t="s">
        <v>18</v>
      </c>
      <c r="J108" s="9"/>
      <c r="K108" s="9"/>
      <c r="L108" s="9"/>
      <c r="M108" s="9"/>
    </row>
    <row r="109" spans="2:13" x14ac:dyDescent="0.35">
      <c r="B109" s="4"/>
      <c r="C109" s="9"/>
      <c r="D109" s="4"/>
      <c r="E109" s="9"/>
      <c r="F109" s="48" t="s">
        <v>151</v>
      </c>
      <c r="G109" s="47"/>
      <c r="H109" s="47" t="s">
        <v>153</v>
      </c>
      <c r="I109" s="4" t="s">
        <v>18</v>
      </c>
      <c r="J109" s="9"/>
      <c r="K109" s="9"/>
      <c r="L109" s="9"/>
      <c r="M109" s="9"/>
    </row>
    <row r="110" spans="2:13" x14ac:dyDescent="0.35">
      <c r="B110" s="4"/>
      <c r="C110" s="9"/>
      <c r="D110" s="4"/>
      <c r="E110" s="9"/>
      <c r="F110" s="48" t="s">
        <v>152</v>
      </c>
      <c r="G110" s="47"/>
      <c r="H110" s="47" t="s">
        <v>153</v>
      </c>
      <c r="I110" s="4" t="s">
        <v>18</v>
      </c>
      <c r="J110" s="9"/>
      <c r="K110" s="9"/>
      <c r="L110" s="9"/>
      <c r="M110" s="9"/>
    </row>
    <row r="111" spans="2:13" x14ac:dyDescent="0.35">
      <c r="B111" s="4"/>
      <c r="C111" s="9"/>
      <c r="D111" s="4"/>
      <c r="E111" s="9"/>
      <c r="F111" s="48" t="s">
        <v>154</v>
      </c>
      <c r="G111" s="47" t="s">
        <v>142</v>
      </c>
      <c r="H111" s="47"/>
      <c r="I111" s="4" t="s">
        <v>18</v>
      </c>
      <c r="J111" s="9"/>
      <c r="K111" s="9"/>
      <c r="L111" s="9"/>
      <c r="M111" s="9"/>
    </row>
    <row r="112" spans="2:13" x14ac:dyDescent="0.35">
      <c r="B112" s="4"/>
      <c r="C112" s="9"/>
      <c r="D112" s="4"/>
      <c r="E112" s="9"/>
      <c r="F112" s="48" t="s">
        <v>155</v>
      </c>
      <c r="G112" s="47" t="s">
        <v>142</v>
      </c>
      <c r="H112" s="47"/>
      <c r="I112" s="4" t="s">
        <v>18</v>
      </c>
      <c r="J112" s="9"/>
      <c r="K112" s="9"/>
      <c r="L112" s="9"/>
      <c r="M112" s="9"/>
    </row>
    <row r="113" spans="3:6" x14ac:dyDescent="0.35">
      <c r="C113" s="45"/>
      <c r="F113" s="44"/>
    </row>
  </sheetData>
  <autoFilter ref="B4:M107" xr:uid="{6EF12F6D-4B3D-4027-84C7-6F2CBDCDDAE5}"/>
  <mergeCells count="6">
    <mergeCell ref="B3:M3"/>
    <mergeCell ref="B10:B12"/>
    <mergeCell ref="D10:D12"/>
    <mergeCell ref="E10:E12"/>
    <mergeCell ref="G10:G12"/>
    <mergeCell ref="C10: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35F6D-A82E-43A7-85CC-FE09D1B734A7}">
  <dimension ref="D1:H10"/>
  <sheetViews>
    <sheetView workbookViewId="0">
      <selection activeCell="C13" sqref="C13"/>
    </sheetView>
  </sheetViews>
  <sheetFormatPr defaultRowHeight="14.5" x14ac:dyDescent="0.35"/>
  <cols>
    <col min="4" max="4" width="13.7265625" customWidth="1"/>
    <col min="7" max="7" width="17.08984375" customWidth="1"/>
  </cols>
  <sheetData>
    <row r="1" spans="4:8" ht="15" thickBot="1" x14ac:dyDescent="0.4"/>
    <row r="2" spans="4:8" ht="27" customHeight="1" thickBot="1" x14ac:dyDescent="0.4">
      <c r="D2" s="38" t="s">
        <v>91</v>
      </c>
      <c r="E2" s="39"/>
      <c r="F2" s="39"/>
      <c r="G2" s="39"/>
      <c r="H2" s="40"/>
    </row>
    <row r="3" spans="4:8" ht="29.5" thickBot="1" x14ac:dyDescent="0.4">
      <c r="D3" s="23"/>
      <c r="E3" s="24" t="s">
        <v>60</v>
      </c>
      <c r="F3" s="24" t="s">
        <v>61</v>
      </c>
      <c r="G3" s="22" t="s">
        <v>64</v>
      </c>
      <c r="H3" s="25" t="s">
        <v>63</v>
      </c>
    </row>
    <row r="4" spans="4:8" x14ac:dyDescent="0.35">
      <c r="D4" s="11" t="s">
        <v>58</v>
      </c>
      <c r="E4" s="12">
        <v>2</v>
      </c>
      <c r="F4" s="12">
        <v>0</v>
      </c>
      <c r="G4" s="17">
        <v>3</v>
      </c>
      <c r="H4" s="20">
        <f>SUM(E4:G4)</f>
        <v>5</v>
      </c>
    </row>
    <row r="5" spans="4:8" ht="15" thickBot="1" x14ac:dyDescent="0.4">
      <c r="D5" s="13" t="s">
        <v>59</v>
      </c>
      <c r="E5" s="14">
        <v>4</v>
      </c>
      <c r="F5" s="14">
        <v>1</v>
      </c>
      <c r="G5" s="18">
        <v>6</v>
      </c>
      <c r="H5" s="20">
        <f t="shared" ref="H5:H6" si="0">SUM(E5:G5)</f>
        <v>11</v>
      </c>
    </row>
    <row r="6" spans="4:8" ht="15" thickBot="1" x14ac:dyDescent="0.4">
      <c r="D6" s="15" t="s">
        <v>62</v>
      </c>
      <c r="E6" s="16">
        <f>E4+E5</f>
        <v>6</v>
      </c>
      <c r="F6" s="16">
        <f>F4+F5</f>
        <v>1</v>
      </c>
      <c r="G6" s="19">
        <f>G4+G5</f>
        <v>9</v>
      </c>
      <c r="H6" s="21">
        <f t="shared" si="0"/>
        <v>16</v>
      </c>
    </row>
    <row r="7" spans="4:8" ht="15" thickBot="1" x14ac:dyDescent="0.4"/>
    <row r="8" spans="4:8" x14ac:dyDescent="0.35">
      <c r="D8" s="35" t="s">
        <v>92</v>
      </c>
      <c r="E8" s="36"/>
      <c r="F8" s="36"/>
      <c r="G8" s="36"/>
      <c r="H8" s="37"/>
    </row>
    <row r="9" spans="4:8" x14ac:dyDescent="0.35">
      <c r="D9" s="41" t="s">
        <v>93</v>
      </c>
      <c r="E9" s="42"/>
      <c r="F9" s="42"/>
      <c r="G9" s="42"/>
      <c r="H9" s="43"/>
    </row>
    <row r="10" spans="4:8" ht="32" customHeight="1" thickBot="1" x14ac:dyDescent="0.4">
      <c r="D10" s="32" t="s">
        <v>94</v>
      </c>
      <c r="E10" s="33"/>
      <c r="F10" s="33"/>
      <c r="G10" s="33"/>
      <c r="H10" s="34"/>
    </row>
  </sheetData>
  <mergeCells count="4">
    <mergeCell ref="D10:H10"/>
    <mergeCell ref="D8:H8"/>
    <mergeCell ref="D2:H2"/>
    <mergeCell ref="D9:H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D540-AB08-44DB-926F-62F6B3E52DFD}">
  <dimension ref="A1"/>
  <sheetViews>
    <sheetView topLeftCell="A10" workbookViewId="0">
      <selection activeCell="O23" sqref="O23"/>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payment tracker</vt:lpstr>
      <vt:lpstr>Sheet1</vt:lpstr>
      <vt:lpstr>process flow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segbawhan opeoluwa</dc:creator>
  <cp:lastModifiedBy>segbawhan opeoluwa</cp:lastModifiedBy>
  <dcterms:created xsi:type="dcterms:W3CDTF">2025-09-01T08:52:52Z</dcterms:created>
  <dcterms:modified xsi:type="dcterms:W3CDTF">2025-12-11T22:09:33Z</dcterms:modified>
</cp:coreProperties>
</file>